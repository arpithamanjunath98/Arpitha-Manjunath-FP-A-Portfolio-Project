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rpitha/Desktop/P1/"/>
    </mc:Choice>
  </mc:AlternateContent>
  <xr:revisionPtr revIDLastSave="0" documentId="13_ncr:1_{511C233A-B87B-D441-B7CB-9DB8ABBCFCFD}" xr6:coauthVersionLast="47" xr6:coauthVersionMax="47" xr10:uidLastSave="{00000000-0000-0000-0000-000000000000}"/>
  <bookViews>
    <workbookView xWindow="0" yWindow="660" windowWidth="29400" windowHeight="16980" firstSheet="10" activeTab="17" xr2:uid="{00000000-000D-0000-FFFF-FFFF00000000}"/>
  </bookViews>
  <sheets>
    <sheet name="README" sheetId="1" r:id="rId1"/>
    <sheet name="Assumptions" sheetId="2" r:id="rId2"/>
    <sheet name="Historical Actuals" sheetId="3" r:id="rId3"/>
    <sheet name="Budget 2026" sheetId="4" r:id="rId4"/>
    <sheet name="Rolling Forecast" sheetId="5" r:id="rId5"/>
    <sheet name="Variance Analysis" sheetId="6" r:id="rId6"/>
    <sheet name="Dashboard" sheetId="7" r:id="rId7"/>
    <sheet name="Data Dictionary" sheetId="8" r:id="rId8"/>
    <sheet name="Headcount &amp; Payroll" sheetId="9" r:id="rId9"/>
    <sheet name="Capex &amp; Depreciation" sheetId="10" r:id="rId10"/>
    <sheet name="Working Capital" sheetId="11" r:id="rId11"/>
    <sheet name="13-Week Cash Forecast" sheetId="12" r:id="rId12"/>
    <sheet name="Investment Appraisal" sheetId="13" r:id="rId13"/>
    <sheet name="PVM Analysis" sheetId="14" r:id="rId14"/>
    <sheet name="Risks &amp; Opportunities" sheetId="15" r:id="rId15"/>
    <sheet name="Management Commentary" sheetId="16" r:id="rId16"/>
    <sheet name="Management Pack" sheetId="17" r:id="rId17"/>
    <sheet name="Portfolio Summary"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17" l="1"/>
  <c r="E23" i="17"/>
  <c r="A3" i="17"/>
  <c r="A3" i="16"/>
  <c r="C28" i="15"/>
  <c r="C23" i="15"/>
  <c r="J18" i="15"/>
  <c r="G28" i="15" s="1"/>
  <c r="J17" i="15"/>
  <c r="H28" i="15" s="1"/>
  <c r="J16" i="15"/>
  <c r="H27" i="15" s="1"/>
  <c r="J15" i="15"/>
  <c r="H23" i="15" s="1"/>
  <c r="J14" i="15"/>
  <c r="H25" i="15" s="1"/>
  <c r="J13" i="15"/>
  <c r="H26" i="15" s="1"/>
  <c r="J12" i="15"/>
  <c r="J11" i="15"/>
  <c r="G26" i="15" s="1"/>
  <c r="J10" i="15"/>
  <c r="G23" i="15" s="1"/>
  <c r="J9" i="15"/>
  <c r="G24" i="15" s="1"/>
  <c r="J8" i="15"/>
  <c r="G27" i="15" s="1"/>
  <c r="J7" i="15"/>
  <c r="G35" i="13"/>
  <c r="F35" i="13"/>
  <c r="E35" i="13"/>
  <c r="D35" i="13"/>
  <c r="C35" i="13"/>
  <c r="B35" i="13"/>
  <c r="B34" i="13"/>
  <c r="B33" i="13"/>
  <c r="G32" i="13"/>
  <c r="F32" i="13"/>
  <c r="E32" i="13"/>
  <c r="D32" i="13"/>
  <c r="C32" i="13"/>
  <c r="B32" i="13"/>
  <c r="G30" i="13"/>
  <c r="F30" i="13"/>
  <c r="E30" i="13"/>
  <c r="D30" i="13"/>
  <c r="C30" i="13"/>
  <c r="G25" i="13"/>
  <c r="G29" i="13" s="1"/>
  <c r="F25" i="13"/>
  <c r="F29" i="13" s="1"/>
  <c r="E25" i="13"/>
  <c r="E29" i="13" s="1"/>
  <c r="D25" i="13"/>
  <c r="D29" i="13" s="1"/>
  <c r="C25" i="13"/>
  <c r="C29" i="13" s="1"/>
  <c r="G23" i="13"/>
  <c r="F23" i="13"/>
  <c r="E23" i="13"/>
  <c r="D23" i="13"/>
  <c r="C23" i="13"/>
  <c r="C22" i="13"/>
  <c r="D22" i="13" s="1"/>
  <c r="E22" i="13" s="1"/>
  <c r="F22" i="13" s="1"/>
  <c r="G22" i="13" s="1"/>
  <c r="C20" i="13"/>
  <c r="C34" i="12"/>
  <c r="C33" i="12"/>
  <c r="M16" i="12"/>
  <c r="H25" i="11"/>
  <c r="F25" i="11"/>
  <c r="D25" i="11"/>
  <c r="Q25" i="11" s="1"/>
  <c r="H24" i="11"/>
  <c r="F24" i="11"/>
  <c r="D24" i="11"/>
  <c r="Q24" i="11" s="1"/>
  <c r="H23" i="11"/>
  <c r="F23" i="11"/>
  <c r="D23" i="11"/>
  <c r="Q23" i="11" s="1"/>
  <c r="Q22" i="11"/>
  <c r="B30" i="11" s="1"/>
  <c r="Q21" i="11"/>
  <c r="Q20" i="11"/>
  <c r="Q19" i="11"/>
  <c r="Q18" i="11"/>
  <c r="Q17" i="11"/>
  <c r="Q16" i="11"/>
  <c r="Q15" i="11"/>
  <c r="Q14" i="11"/>
  <c r="K14" i="11"/>
  <c r="N28" i="10"/>
  <c r="M28" i="10"/>
  <c r="L28" i="10"/>
  <c r="K28" i="10"/>
  <c r="J28" i="10"/>
  <c r="I28" i="10"/>
  <c r="H28" i="10"/>
  <c r="G28" i="10"/>
  <c r="F28" i="10"/>
  <c r="E28" i="10"/>
  <c r="D28" i="10"/>
  <c r="C28" i="10"/>
  <c r="N27" i="10"/>
  <c r="M27" i="10"/>
  <c r="L27" i="10"/>
  <c r="K27" i="10"/>
  <c r="J27" i="10"/>
  <c r="I27" i="10"/>
  <c r="H27" i="10"/>
  <c r="G27" i="10"/>
  <c r="F27" i="10"/>
  <c r="E27" i="10"/>
  <c r="D27" i="10"/>
  <c r="C27" i="10"/>
  <c r="O27" i="10" s="1"/>
  <c r="N26" i="10"/>
  <c r="M26" i="10"/>
  <c r="L26" i="10"/>
  <c r="K26" i="10"/>
  <c r="J26" i="10"/>
  <c r="I26" i="10"/>
  <c r="H26" i="10"/>
  <c r="G26" i="10"/>
  <c r="F26" i="10"/>
  <c r="E26" i="10"/>
  <c r="D26" i="10"/>
  <c r="C26" i="10"/>
  <c r="N25" i="10"/>
  <c r="M25" i="10"/>
  <c r="L25" i="10"/>
  <c r="K25" i="10"/>
  <c r="J25" i="10"/>
  <c r="I25" i="10"/>
  <c r="H25" i="10"/>
  <c r="G25" i="10"/>
  <c r="F25" i="10"/>
  <c r="E25" i="10"/>
  <c r="D25" i="10"/>
  <c r="C25" i="10"/>
  <c r="N24" i="10"/>
  <c r="M24" i="10"/>
  <c r="L24" i="10"/>
  <c r="K24" i="10"/>
  <c r="J24" i="10"/>
  <c r="I34" i="10" s="1"/>
  <c r="I24" i="10"/>
  <c r="H34" i="10" s="1"/>
  <c r="H24" i="10"/>
  <c r="G34" i="10" s="1"/>
  <c r="G24" i="10"/>
  <c r="F34" i="10" s="1"/>
  <c r="F24" i="10"/>
  <c r="E34" i="10" s="1"/>
  <c r="E24" i="10"/>
  <c r="D34" i="10" s="1"/>
  <c r="D24" i="10"/>
  <c r="C24" i="10"/>
  <c r="N23" i="10"/>
  <c r="M33" i="10" s="1"/>
  <c r="M23" i="10"/>
  <c r="L33" i="10" s="1"/>
  <c r="L23" i="10"/>
  <c r="K33" i="10" s="1"/>
  <c r="K23" i="10"/>
  <c r="J33" i="10" s="1"/>
  <c r="O22" i="11" s="1"/>
  <c r="J23" i="10"/>
  <c r="I33" i="10" s="1"/>
  <c r="O21" i="11" s="1"/>
  <c r="I23" i="10"/>
  <c r="H33" i="10" s="1"/>
  <c r="O20" i="11" s="1"/>
  <c r="H23" i="10"/>
  <c r="G23" i="10"/>
  <c r="F23" i="10"/>
  <c r="E23" i="10"/>
  <c r="D23" i="10"/>
  <c r="C23" i="10"/>
  <c r="N22" i="10"/>
  <c r="M22" i="10"/>
  <c r="L22" i="10"/>
  <c r="K22" i="10"/>
  <c r="J22" i="10"/>
  <c r="I22" i="10"/>
  <c r="H22" i="10"/>
  <c r="G22" i="10"/>
  <c r="F22" i="10"/>
  <c r="E22" i="10"/>
  <c r="D22" i="10"/>
  <c r="C22" i="10"/>
  <c r="N21" i="10"/>
  <c r="M21" i="10"/>
  <c r="L21" i="10"/>
  <c r="K21" i="10"/>
  <c r="J21" i="10"/>
  <c r="I21" i="10"/>
  <c r="H21" i="10"/>
  <c r="G21" i="10"/>
  <c r="F21" i="10"/>
  <c r="E21" i="10"/>
  <c r="D21" i="10"/>
  <c r="C21" i="10"/>
  <c r="O21" i="10" s="1"/>
  <c r="N20" i="10"/>
  <c r="M20" i="10"/>
  <c r="L20" i="10"/>
  <c r="K20" i="10"/>
  <c r="J20" i="10"/>
  <c r="I20" i="10"/>
  <c r="H20" i="10"/>
  <c r="G20" i="10"/>
  <c r="F20" i="10"/>
  <c r="E20" i="10"/>
  <c r="D20" i="10"/>
  <c r="C20" i="10"/>
  <c r="O20" i="10" s="1"/>
  <c r="N19" i="10"/>
  <c r="M19" i="10"/>
  <c r="L19" i="10"/>
  <c r="K19" i="10"/>
  <c r="J19" i="10"/>
  <c r="I19" i="10"/>
  <c r="H19" i="10"/>
  <c r="G19" i="10"/>
  <c r="F19" i="10"/>
  <c r="E19" i="10"/>
  <c r="D19" i="10"/>
  <c r="C19" i="10"/>
  <c r="O19" i="10" s="1"/>
  <c r="N18" i="10"/>
  <c r="M18" i="10"/>
  <c r="L18" i="10"/>
  <c r="K18" i="10"/>
  <c r="J18" i="10"/>
  <c r="I18" i="10"/>
  <c r="H18" i="10"/>
  <c r="G18" i="10"/>
  <c r="F18" i="10"/>
  <c r="E18" i="10"/>
  <c r="D18" i="10"/>
  <c r="C18" i="10"/>
  <c r="O18" i="10" s="1"/>
  <c r="N17" i="10"/>
  <c r="M17" i="10"/>
  <c r="L17" i="10"/>
  <c r="K17" i="10"/>
  <c r="J17" i="10"/>
  <c r="I17" i="10"/>
  <c r="H17" i="10"/>
  <c r="G17" i="10"/>
  <c r="F17" i="10"/>
  <c r="E17" i="10"/>
  <c r="D17" i="10"/>
  <c r="C17" i="10"/>
  <c r="O17" i="10" s="1"/>
  <c r="M46" i="9"/>
  <c r="L46" i="9"/>
  <c r="K46" i="9"/>
  <c r="J46" i="9"/>
  <c r="I46" i="9"/>
  <c r="H46" i="9"/>
  <c r="G46" i="9"/>
  <c r="F46" i="9"/>
  <c r="E46" i="9"/>
  <c r="D46" i="9"/>
  <c r="C46" i="9"/>
  <c r="B46" i="9"/>
  <c r="AE32" i="9"/>
  <c r="AD32" i="9"/>
  <c r="AC32" i="9"/>
  <c r="AB32" i="9"/>
  <c r="AA32" i="9"/>
  <c r="Z32" i="9"/>
  <c r="Y32" i="9"/>
  <c r="X32" i="9"/>
  <c r="W32" i="9"/>
  <c r="V32" i="9"/>
  <c r="U32" i="9"/>
  <c r="T32" i="9"/>
  <c r="A32" i="9"/>
  <c r="AE31" i="9"/>
  <c r="AD31" i="9"/>
  <c r="AC31" i="9"/>
  <c r="AB31" i="9"/>
  <c r="AA31" i="9"/>
  <c r="Z31" i="9"/>
  <c r="Y31" i="9"/>
  <c r="X31" i="9"/>
  <c r="W31" i="9"/>
  <c r="V31" i="9"/>
  <c r="U31" i="9"/>
  <c r="T31" i="9"/>
  <c r="A31" i="9"/>
  <c r="AE30" i="9"/>
  <c r="AD30" i="9"/>
  <c r="AC30" i="9"/>
  <c r="AB30" i="9"/>
  <c r="AA30" i="9"/>
  <c r="Z30" i="9"/>
  <c r="Y30" i="9"/>
  <c r="X30" i="9"/>
  <c r="W30" i="9"/>
  <c r="V30" i="9"/>
  <c r="U30" i="9"/>
  <c r="T30" i="9"/>
  <c r="A30" i="9"/>
  <c r="AE29" i="9"/>
  <c r="M41" i="9" s="1"/>
  <c r="N63" i="4" s="1"/>
  <c r="L63" i="5" s="1"/>
  <c r="AD29" i="9"/>
  <c r="L41" i="9" s="1"/>
  <c r="N58" i="4" s="1"/>
  <c r="L58" i="5" s="1"/>
  <c r="AC29" i="9"/>
  <c r="K41" i="9" s="1"/>
  <c r="N53" i="4" s="1"/>
  <c r="L53" i="5" s="1"/>
  <c r="AB29" i="9"/>
  <c r="J41" i="9" s="1"/>
  <c r="N48" i="4" s="1"/>
  <c r="AA29" i="9"/>
  <c r="I41" i="9" s="1"/>
  <c r="N43" i="4" s="1"/>
  <c r="Z29" i="9"/>
  <c r="H41" i="9" s="1"/>
  <c r="N38" i="4" s="1"/>
  <c r="Y29" i="9"/>
  <c r="G41" i="9" s="1"/>
  <c r="N33" i="4" s="1"/>
  <c r="X29" i="9"/>
  <c r="F41" i="9" s="1"/>
  <c r="N28" i="4" s="1"/>
  <c r="W29" i="9"/>
  <c r="E41" i="9" s="1"/>
  <c r="N23" i="4" s="1"/>
  <c r="V29" i="9"/>
  <c r="D41" i="9" s="1"/>
  <c r="N18" i="4" s="1"/>
  <c r="U29" i="9"/>
  <c r="C41" i="9" s="1"/>
  <c r="N13" i="4" s="1"/>
  <c r="T29" i="9"/>
  <c r="B41" i="9" s="1"/>
  <c r="A29" i="9"/>
  <c r="AE28" i="9"/>
  <c r="AD28" i="9"/>
  <c r="AC28" i="9"/>
  <c r="AB28" i="9"/>
  <c r="AA28" i="9"/>
  <c r="Z28" i="9"/>
  <c r="Y28" i="9"/>
  <c r="X28" i="9"/>
  <c r="W28" i="9"/>
  <c r="V28" i="9"/>
  <c r="U28" i="9"/>
  <c r="T28" i="9"/>
  <c r="A28" i="9"/>
  <c r="AE27" i="9"/>
  <c r="AD27" i="9"/>
  <c r="AC27" i="9"/>
  <c r="AB27" i="9"/>
  <c r="AA27" i="9"/>
  <c r="Z27" i="9"/>
  <c r="Y27" i="9"/>
  <c r="X27" i="9"/>
  <c r="W27" i="9"/>
  <c r="V27" i="9"/>
  <c r="U27" i="9"/>
  <c r="T27" i="9"/>
  <c r="A27" i="9"/>
  <c r="AE26" i="9"/>
  <c r="AD26" i="9"/>
  <c r="AC26" i="9"/>
  <c r="AB26" i="9"/>
  <c r="AA26" i="9"/>
  <c r="Z26" i="9"/>
  <c r="Y26" i="9"/>
  <c r="X26" i="9"/>
  <c r="W26" i="9"/>
  <c r="V26" i="9"/>
  <c r="U26" i="9"/>
  <c r="T26" i="9"/>
  <c r="A26" i="9"/>
  <c r="AE25" i="9"/>
  <c r="AD25" i="9"/>
  <c r="AC25" i="9"/>
  <c r="AB25" i="9"/>
  <c r="AA25" i="9"/>
  <c r="Z25" i="9"/>
  <c r="Y25" i="9"/>
  <c r="X25" i="9"/>
  <c r="W25" i="9"/>
  <c r="V25" i="9"/>
  <c r="U25" i="9"/>
  <c r="T25" i="9"/>
  <c r="A25" i="9"/>
  <c r="AE24" i="9"/>
  <c r="AD24" i="9"/>
  <c r="AC24" i="9"/>
  <c r="AB24" i="9"/>
  <c r="AA24" i="9"/>
  <c r="Z24" i="9"/>
  <c r="Y24" i="9"/>
  <c r="X24" i="9"/>
  <c r="W24" i="9"/>
  <c r="V24" i="9"/>
  <c r="U24" i="9"/>
  <c r="T24" i="9"/>
  <c r="A24" i="9"/>
  <c r="AE23" i="9"/>
  <c r="AD23" i="9"/>
  <c r="AC23" i="9"/>
  <c r="AB23" i="9"/>
  <c r="AA23" i="9"/>
  <c r="Z23" i="9"/>
  <c r="Y23" i="9"/>
  <c r="X23" i="9"/>
  <c r="W23" i="9"/>
  <c r="V23" i="9"/>
  <c r="U23" i="9"/>
  <c r="T23" i="9"/>
  <c r="A23" i="9"/>
  <c r="AE22" i="9"/>
  <c r="AD22" i="9"/>
  <c r="AC22" i="9"/>
  <c r="AB22" i="9"/>
  <c r="AA22" i="9"/>
  <c r="Z22" i="9"/>
  <c r="Y22" i="9"/>
  <c r="X22" i="9"/>
  <c r="W22" i="9"/>
  <c r="V22" i="9"/>
  <c r="U22" i="9"/>
  <c r="T22" i="9"/>
  <c r="A22" i="9"/>
  <c r="AE21" i="9"/>
  <c r="M39" i="9" s="1"/>
  <c r="N61" i="4" s="1"/>
  <c r="L61" i="5" s="1"/>
  <c r="AD21" i="9"/>
  <c r="L39" i="9" s="1"/>
  <c r="N56" i="4" s="1"/>
  <c r="L56" i="5" s="1"/>
  <c r="AC21" i="9"/>
  <c r="K39" i="9" s="1"/>
  <c r="N51" i="4" s="1"/>
  <c r="L51" i="5" s="1"/>
  <c r="AB21" i="9"/>
  <c r="J39" i="9" s="1"/>
  <c r="N46" i="4" s="1"/>
  <c r="AA21" i="9"/>
  <c r="I39" i="9" s="1"/>
  <c r="N41" i="4" s="1"/>
  <c r="Z21" i="9"/>
  <c r="H39" i="9" s="1"/>
  <c r="N36" i="4" s="1"/>
  <c r="Y21" i="9"/>
  <c r="G39" i="9" s="1"/>
  <c r="N31" i="4" s="1"/>
  <c r="X21" i="9"/>
  <c r="F39" i="9" s="1"/>
  <c r="N26" i="4" s="1"/>
  <c r="W21" i="9"/>
  <c r="E39" i="9" s="1"/>
  <c r="N21" i="4" s="1"/>
  <c r="V21" i="9"/>
  <c r="D39" i="9" s="1"/>
  <c r="N16" i="4" s="1"/>
  <c r="U21" i="9"/>
  <c r="C39" i="9" s="1"/>
  <c r="N11" i="4" s="1"/>
  <c r="T21" i="9"/>
  <c r="B39" i="9" s="1"/>
  <c r="A21" i="9"/>
  <c r="AE20" i="9"/>
  <c r="AD20" i="9"/>
  <c r="AC20" i="9"/>
  <c r="AB20" i="9"/>
  <c r="AA20" i="9"/>
  <c r="Z20" i="9"/>
  <c r="Y20" i="9"/>
  <c r="X20" i="9"/>
  <c r="W20" i="9"/>
  <c r="V20" i="9"/>
  <c r="U20" i="9"/>
  <c r="T20" i="9"/>
  <c r="A20" i="9"/>
  <c r="AE19" i="9"/>
  <c r="AD19" i="9"/>
  <c r="AC19" i="9"/>
  <c r="AB19" i="9"/>
  <c r="AA19" i="9"/>
  <c r="Z19" i="9"/>
  <c r="Y19" i="9"/>
  <c r="X19" i="9"/>
  <c r="W19" i="9"/>
  <c r="V19" i="9"/>
  <c r="U19" i="9"/>
  <c r="T19" i="9"/>
  <c r="A19" i="9"/>
  <c r="AE18" i="9"/>
  <c r="AD18" i="9"/>
  <c r="AC18" i="9"/>
  <c r="AB18" i="9"/>
  <c r="AA18" i="9"/>
  <c r="Z18" i="9"/>
  <c r="Y18" i="9"/>
  <c r="X18" i="9"/>
  <c r="W18" i="9"/>
  <c r="V18" i="9"/>
  <c r="U18" i="9"/>
  <c r="T18" i="9"/>
  <c r="A18" i="9"/>
  <c r="AE17" i="9"/>
  <c r="M38" i="9" s="1"/>
  <c r="N60" i="4" s="1"/>
  <c r="L60" i="5" s="1"/>
  <c r="AD17" i="9"/>
  <c r="L38" i="9" s="1"/>
  <c r="N55" i="4" s="1"/>
  <c r="L55" i="5" s="1"/>
  <c r="AC17" i="9"/>
  <c r="K38" i="9" s="1"/>
  <c r="N50" i="4" s="1"/>
  <c r="L50" i="5" s="1"/>
  <c r="AB17" i="9"/>
  <c r="J38" i="9" s="1"/>
  <c r="N45" i="4" s="1"/>
  <c r="AA17" i="9"/>
  <c r="I38" i="9" s="1"/>
  <c r="N40" i="4" s="1"/>
  <c r="Z17" i="9"/>
  <c r="Y17" i="9"/>
  <c r="X17" i="9"/>
  <c r="W17" i="9"/>
  <c r="V17" i="9"/>
  <c r="U17" i="9"/>
  <c r="T17" i="9"/>
  <c r="A17" i="9"/>
  <c r="AE16" i="9"/>
  <c r="AD16" i="9"/>
  <c r="AC16" i="9"/>
  <c r="AB16" i="9"/>
  <c r="AA16" i="9"/>
  <c r="Z16" i="9"/>
  <c r="Y16" i="9"/>
  <c r="X16" i="9"/>
  <c r="W16" i="9"/>
  <c r="V16" i="9"/>
  <c r="U16" i="9"/>
  <c r="T16" i="9"/>
  <c r="A16" i="9"/>
  <c r="AE15" i="9"/>
  <c r="AD15" i="9"/>
  <c r="AC15" i="9"/>
  <c r="AB15" i="9"/>
  <c r="AA15" i="9"/>
  <c r="Z15" i="9"/>
  <c r="Y15" i="9"/>
  <c r="X15" i="9"/>
  <c r="W15" i="9"/>
  <c r="V15" i="9"/>
  <c r="U15" i="9"/>
  <c r="T15" i="9"/>
  <c r="A15" i="9"/>
  <c r="AE14" i="9"/>
  <c r="AD14" i="9"/>
  <c r="AC14" i="9"/>
  <c r="AB14" i="9"/>
  <c r="AA14" i="9"/>
  <c r="Z14" i="9"/>
  <c r="Y14" i="9"/>
  <c r="X14" i="9"/>
  <c r="W14" i="9"/>
  <c r="V14" i="9"/>
  <c r="U14" i="9"/>
  <c r="T14" i="9"/>
  <c r="A14" i="9"/>
  <c r="AE13" i="9"/>
  <c r="AD13" i="9"/>
  <c r="AC13" i="9"/>
  <c r="AB13" i="9"/>
  <c r="AA13" i="9"/>
  <c r="Z13" i="9"/>
  <c r="Y13" i="9"/>
  <c r="X13" i="9"/>
  <c r="W13" i="9"/>
  <c r="V13" i="9"/>
  <c r="U13" i="9"/>
  <c r="T13" i="9"/>
  <c r="A13" i="9"/>
  <c r="A92" i="7"/>
  <c r="A3" i="7"/>
  <c r="P63" i="5"/>
  <c r="P62" i="5"/>
  <c r="P61" i="5"/>
  <c r="P60" i="5"/>
  <c r="P59" i="5"/>
  <c r="P58" i="5"/>
  <c r="P57" i="5"/>
  <c r="P56" i="5"/>
  <c r="P55" i="5"/>
  <c r="P54" i="5"/>
  <c r="P53" i="5"/>
  <c r="P52" i="5"/>
  <c r="P51" i="5"/>
  <c r="P50" i="5"/>
  <c r="P49" i="5"/>
  <c r="M48" i="5"/>
  <c r="L48" i="5"/>
  <c r="K48" i="5"/>
  <c r="G48" i="5"/>
  <c r="E48" i="5"/>
  <c r="D48" i="5"/>
  <c r="M47" i="5"/>
  <c r="L47" i="5"/>
  <c r="K47" i="5"/>
  <c r="G47" i="5"/>
  <c r="E47" i="5"/>
  <c r="D47" i="5"/>
  <c r="M46" i="5"/>
  <c r="L46" i="5"/>
  <c r="K46" i="5"/>
  <c r="G46" i="5"/>
  <c r="E46" i="5"/>
  <c r="D46" i="5"/>
  <c r="M45" i="5"/>
  <c r="L45" i="5"/>
  <c r="K45" i="5"/>
  <c r="G45" i="5"/>
  <c r="E45" i="5"/>
  <c r="D45" i="5"/>
  <c r="M44" i="5"/>
  <c r="L44" i="5"/>
  <c r="K44" i="5"/>
  <c r="G44" i="5"/>
  <c r="E44" i="5"/>
  <c r="D44" i="5"/>
  <c r="M43" i="5"/>
  <c r="L43" i="5"/>
  <c r="K43" i="5"/>
  <c r="G43" i="5"/>
  <c r="E43" i="5"/>
  <c r="D43" i="5"/>
  <c r="M42" i="5"/>
  <c r="L42" i="5"/>
  <c r="K42" i="5"/>
  <c r="G42" i="5"/>
  <c r="E42" i="5"/>
  <c r="D42" i="5"/>
  <c r="M41" i="5"/>
  <c r="L41" i="5"/>
  <c r="K41" i="5"/>
  <c r="G41" i="5"/>
  <c r="E41" i="5"/>
  <c r="D41" i="5"/>
  <c r="M40" i="5"/>
  <c r="L40" i="5"/>
  <c r="K40" i="5"/>
  <c r="G40" i="5"/>
  <c r="E40" i="5"/>
  <c r="D40" i="5"/>
  <c r="M39" i="5"/>
  <c r="L39" i="5"/>
  <c r="K39" i="5"/>
  <c r="G39" i="5"/>
  <c r="E39" i="5"/>
  <c r="D39" i="5"/>
  <c r="M38" i="5"/>
  <c r="L38" i="5"/>
  <c r="K38" i="5"/>
  <c r="G38" i="5"/>
  <c r="E38" i="5"/>
  <c r="D38" i="5"/>
  <c r="M37" i="5"/>
  <c r="L37" i="5"/>
  <c r="K37" i="5"/>
  <c r="G37" i="5"/>
  <c r="E37" i="5"/>
  <c r="D37" i="5"/>
  <c r="M36" i="5"/>
  <c r="L36" i="5"/>
  <c r="K36" i="5"/>
  <c r="G36" i="5"/>
  <c r="E36" i="5"/>
  <c r="D36" i="5"/>
  <c r="M35" i="5"/>
  <c r="L35" i="5"/>
  <c r="K35" i="5"/>
  <c r="G35" i="5"/>
  <c r="E35" i="5"/>
  <c r="D35" i="5"/>
  <c r="M34" i="5"/>
  <c r="L34" i="5"/>
  <c r="K34" i="5"/>
  <c r="G34" i="5"/>
  <c r="E34" i="5"/>
  <c r="D34" i="5"/>
  <c r="M33" i="5"/>
  <c r="L33" i="5"/>
  <c r="K33" i="5"/>
  <c r="G33" i="5"/>
  <c r="E33" i="5"/>
  <c r="D33" i="5"/>
  <c r="M32" i="5"/>
  <c r="L32" i="5"/>
  <c r="K32" i="5"/>
  <c r="G32" i="5"/>
  <c r="E32" i="5"/>
  <c r="D32" i="5"/>
  <c r="M31" i="5"/>
  <c r="L31" i="5"/>
  <c r="K31" i="5"/>
  <c r="G31" i="5"/>
  <c r="E31" i="5"/>
  <c r="D31" i="5"/>
  <c r="M30" i="5"/>
  <c r="L30" i="5"/>
  <c r="K30" i="5"/>
  <c r="G30" i="5"/>
  <c r="E30" i="5"/>
  <c r="D30" i="5"/>
  <c r="M29" i="5"/>
  <c r="L29" i="5"/>
  <c r="K29" i="5"/>
  <c r="G29" i="5"/>
  <c r="E29" i="5"/>
  <c r="D29" i="5"/>
  <c r="M28" i="5"/>
  <c r="L28" i="5"/>
  <c r="K28" i="5"/>
  <c r="G28" i="5"/>
  <c r="E28" i="5"/>
  <c r="D28" i="5"/>
  <c r="M27" i="5"/>
  <c r="L27" i="5"/>
  <c r="K27" i="5"/>
  <c r="G27" i="5"/>
  <c r="E27" i="5"/>
  <c r="D27" i="5"/>
  <c r="M26" i="5"/>
  <c r="L26" i="5"/>
  <c r="K26" i="5"/>
  <c r="G26" i="5"/>
  <c r="E26" i="5"/>
  <c r="D26" i="5"/>
  <c r="M25" i="5"/>
  <c r="L25" i="5"/>
  <c r="K25" i="5"/>
  <c r="G25" i="5"/>
  <c r="E25" i="5"/>
  <c r="D25" i="5"/>
  <c r="M24" i="5"/>
  <c r="L24" i="5"/>
  <c r="K24" i="5"/>
  <c r="G24" i="5"/>
  <c r="E24" i="5"/>
  <c r="D24" i="5"/>
  <c r="M23" i="5"/>
  <c r="L23" i="5"/>
  <c r="K23" i="5"/>
  <c r="G23" i="5"/>
  <c r="E23" i="5"/>
  <c r="D23" i="5"/>
  <c r="M22" i="5"/>
  <c r="L22" i="5"/>
  <c r="K22" i="5"/>
  <c r="G22" i="5"/>
  <c r="E22" i="5"/>
  <c r="D22" i="5"/>
  <c r="M21" i="5"/>
  <c r="L21" i="5"/>
  <c r="K21" i="5"/>
  <c r="G21" i="5"/>
  <c r="E21" i="5"/>
  <c r="D21" i="5"/>
  <c r="M20" i="5"/>
  <c r="L20" i="5"/>
  <c r="K20" i="5"/>
  <c r="G20" i="5"/>
  <c r="E20" i="5"/>
  <c r="D20" i="5"/>
  <c r="M19" i="5"/>
  <c r="L19" i="5"/>
  <c r="K19" i="5"/>
  <c r="G19" i="5"/>
  <c r="E19" i="5"/>
  <c r="D19" i="5"/>
  <c r="M18" i="5"/>
  <c r="L18" i="5"/>
  <c r="K18" i="5"/>
  <c r="G18" i="5"/>
  <c r="E18" i="5"/>
  <c r="D18" i="5"/>
  <c r="M17" i="5"/>
  <c r="L17" i="5"/>
  <c r="K17" i="5"/>
  <c r="G17" i="5"/>
  <c r="E17" i="5"/>
  <c r="D17" i="5"/>
  <c r="M16" i="5"/>
  <c r="L16" i="5"/>
  <c r="K16" i="5"/>
  <c r="G16" i="5"/>
  <c r="E16" i="5"/>
  <c r="D16" i="5"/>
  <c r="M15" i="5"/>
  <c r="L15" i="5"/>
  <c r="K15" i="5"/>
  <c r="G15" i="5"/>
  <c r="E15" i="5"/>
  <c r="D15" i="5"/>
  <c r="M14" i="5"/>
  <c r="L14" i="5"/>
  <c r="K14" i="5"/>
  <c r="G14" i="5"/>
  <c r="E14" i="5"/>
  <c r="D14" i="5"/>
  <c r="M13" i="5"/>
  <c r="L13" i="5"/>
  <c r="K13" i="5"/>
  <c r="G13" i="5"/>
  <c r="E13" i="5"/>
  <c r="D13" i="5"/>
  <c r="M12" i="5"/>
  <c r="L12" i="5"/>
  <c r="K12" i="5"/>
  <c r="G12" i="5"/>
  <c r="E12" i="5"/>
  <c r="D12" i="5"/>
  <c r="M11" i="5"/>
  <c r="L11" i="5"/>
  <c r="K11" i="5"/>
  <c r="G11" i="5"/>
  <c r="E11" i="5"/>
  <c r="D11" i="5"/>
  <c r="M10" i="5"/>
  <c r="L10" i="5"/>
  <c r="K10" i="5"/>
  <c r="G10" i="5"/>
  <c r="E10" i="5"/>
  <c r="D10" i="5"/>
  <c r="M9" i="5"/>
  <c r="L9" i="5"/>
  <c r="K9" i="5"/>
  <c r="G9" i="5"/>
  <c r="E9" i="5"/>
  <c r="D9" i="5"/>
  <c r="M8" i="5"/>
  <c r="L8" i="5"/>
  <c r="K8" i="5"/>
  <c r="G8" i="5"/>
  <c r="E8" i="5"/>
  <c r="D8" i="5"/>
  <c r="M7" i="5"/>
  <c r="L7" i="5"/>
  <c r="K7" i="5"/>
  <c r="G7" i="5"/>
  <c r="E7" i="5"/>
  <c r="D7" i="5"/>
  <c r="M6" i="5"/>
  <c r="L6" i="5"/>
  <c r="K6" i="5"/>
  <c r="G6" i="5"/>
  <c r="E6" i="5"/>
  <c r="D6" i="5"/>
  <c r="M5" i="5"/>
  <c r="L5" i="5"/>
  <c r="K5" i="5"/>
  <c r="G5" i="5"/>
  <c r="E5" i="5"/>
  <c r="D5" i="5"/>
  <c r="M4" i="5"/>
  <c r="L4" i="5"/>
  <c r="K4" i="5"/>
  <c r="G4" i="5"/>
  <c r="E4" i="5"/>
  <c r="D4" i="5"/>
  <c r="O63" i="4"/>
  <c r="G63" i="4"/>
  <c r="H63" i="4" s="1"/>
  <c r="E63" i="4"/>
  <c r="F63" i="4" s="1"/>
  <c r="C63" i="4"/>
  <c r="D63" i="4" s="1"/>
  <c r="O62" i="4"/>
  <c r="G62" i="4"/>
  <c r="H62" i="4" s="1"/>
  <c r="E62" i="4"/>
  <c r="F62" i="4" s="1"/>
  <c r="C62" i="4"/>
  <c r="D62" i="4" s="1"/>
  <c r="O61" i="4"/>
  <c r="G61" i="4"/>
  <c r="H61" i="4" s="1"/>
  <c r="E61" i="4"/>
  <c r="F61" i="4" s="1"/>
  <c r="C61" i="4"/>
  <c r="D61" i="4" s="1"/>
  <c r="O60" i="4"/>
  <c r="G60" i="4"/>
  <c r="H60" i="4" s="1"/>
  <c r="E60" i="4"/>
  <c r="F60" i="4" s="1"/>
  <c r="C60" i="4"/>
  <c r="D60" i="4" s="1"/>
  <c r="O59" i="4"/>
  <c r="G59" i="4"/>
  <c r="H59" i="4" s="1"/>
  <c r="E59" i="4"/>
  <c r="F59" i="4" s="1"/>
  <c r="C59" i="4"/>
  <c r="D59" i="4" s="1"/>
  <c r="O58" i="4"/>
  <c r="G58" i="4"/>
  <c r="H58" i="4" s="1"/>
  <c r="E58" i="4"/>
  <c r="F58" i="4" s="1"/>
  <c r="C58" i="4"/>
  <c r="D58" i="4" s="1"/>
  <c r="O57" i="4"/>
  <c r="G57" i="4"/>
  <c r="H57" i="4" s="1"/>
  <c r="E57" i="4"/>
  <c r="F57" i="4" s="1"/>
  <c r="C57" i="4"/>
  <c r="D57" i="4" s="1"/>
  <c r="O56" i="4"/>
  <c r="G56" i="4"/>
  <c r="H56" i="4" s="1"/>
  <c r="E56" i="4"/>
  <c r="F56" i="4" s="1"/>
  <c r="C56" i="4"/>
  <c r="D56" i="4" s="1"/>
  <c r="O55" i="4"/>
  <c r="G55" i="4"/>
  <c r="H55" i="4" s="1"/>
  <c r="E55" i="4"/>
  <c r="F55" i="4" s="1"/>
  <c r="C55" i="4"/>
  <c r="D55" i="4" s="1"/>
  <c r="O54" i="4"/>
  <c r="G54" i="4"/>
  <c r="H54" i="4" s="1"/>
  <c r="E54" i="4"/>
  <c r="F54" i="4" s="1"/>
  <c r="C54" i="4"/>
  <c r="D54" i="4" s="1"/>
  <c r="O53" i="4"/>
  <c r="G53" i="4"/>
  <c r="H53" i="4" s="1"/>
  <c r="E53" i="4"/>
  <c r="F53" i="4" s="1"/>
  <c r="C53" i="4"/>
  <c r="D53" i="4" s="1"/>
  <c r="O52" i="4"/>
  <c r="G52" i="4"/>
  <c r="H52" i="4" s="1"/>
  <c r="E52" i="4"/>
  <c r="F52" i="4" s="1"/>
  <c r="C52" i="4"/>
  <c r="D52" i="4" s="1"/>
  <c r="O51" i="4"/>
  <c r="G51" i="4"/>
  <c r="H51" i="4" s="1"/>
  <c r="E51" i="4"/>
  <c r="F51" i="4" s="1"/>
  <c r="C51" i="4"/>
  <c r="D51" i="4" s="1"/>
  <c r="O50" i="4"/>
  <c r="G50" i="4"/>
  <c r="H50" i="4" s="1"/>
  <c r="E50" i="4"/>
  <c r="F50" i="4" s="1"/>
  <c r="C50" i="4"/>
  <c r="D50" i="4" s="1"/>
  <c r="O49" i="4"/>
  <c r="G49" i="4"/>
  <c r="H49" i="4" s="1"/>
  <c r="E49" i="4"/>
  <c r="F49" i="4" s="1"/>
  <c r="C49" i="4"/>
  <c r="D49" i="4" s="1"/>
  <c r="O48" i="4"/>
  <c r="G48" i="4"/>
  <c r="H48" i="4" s="1"/>
  <c r="E48" i="4"/>
  <c r="F48" i="4" s="1"/>
  <c r="C48" i="4"/>
  <c r="D48" i="4" s="1"/>
  <c r="O47" i="4"/>
  <c r="G47" i="4"/>
  <c r="H47" i="4" s="1"/>
  <c r="E47" i="4"/>
  <c r="F47" i="4" s="1"/>
  <c r="C47" i="4"/>
  <c r="D47" i="4" s="1"/>
  <c r="O46" i="4"/>
  <c r="G46" i="4"/>
  <c r="H46" i="4" s="1"/>
  <c r="E46" i="4"/>
  <c r="F46" i="4" s="1"/>
  <c r="C46" i="4"/>
  <c r="D46" i="4" s="1"/>
  <c r="O45" i="4"/>
  <c r="G45" i="4"/>
  <c r="H45" i="4" s="1"/>
  <c r="E45" i="4"/>
  <c r="F45" i="4" s="1"/>
  <c r="C45" i="4"/>
  <c r="D45" i="4" s="1"/>
  <c r="O44" i="4"/>
  <c r="G44" i="4"/>
  <c r="H44" i="4" s="1"/>
  <c r="E44" i="4"/>
  <c r="F44" i="4" s="1"/>
  <c r="C44" i="4"/>
  <c r="D44" i="4" s="1"/>
  <c r="O43" i="4"/>
  <c r="G43" i="4"/>
  <c r="H43" i="4" s="1"/>
  <c r="E43" i="4"/>
  <c r="F43" i="4" s="1"/>
  <c r="C43" i="4"/>
  <c r="D43" i="4" s="1"/>
  <c r="O42" i="4"/>
  <c r="G42" i="4"/>
  <c r="H42" i="4" s="1"/>
  <c r="E42" i="4"/>
  <c r="F42" i="4" s="1"/>
  <c r="C42" i="4"/>
  <c r="D42" i="4" s="1"/>
  <c r="O41" i="4"/>
  <c r="G41" i="4"/>
  <c r="H41" i="4" s="1"/>
  <c r="E41" i="4"/>
  <c r="F41" i="4" s="1"/>
  <c r="C41" i="4"/>
  <c r="D41" i="4" s="1"/>
  <c r="O40" i="4"/>
  <c r="G40" i="4"/>
  <c r="H40" i="4" s="1"/>
  <c r="E40" i="4"/>
  <c r="F40" i="4" s="1"/>
  <c r="C40" i="4"/>
  <c r="D40" i="4" s="1"/>
  <c r="O39" i="4"/>
  <c r="G39" i="4"/>
  <c r="H39" i="4" s="1"/>
  <c r="E39" i="4"/>
  <c r="F39" i="4" s="1"/>
  <c r="C39" i="4"/>
  <c r="D39" i="4" s="1"/>
  <c r="O38" i="4"/>
  <c r="G38" i="4"/>
  <c r="H38" i="4" s="1"/>
  <c r="E38" i="4"/>
  <c r="F38" i="4" s="1"/>
  <c r="C38" i="4"/>
  <c r="D38" i="4" s="1"/>
  <c r="O37" i="4"/>
  <c r="G37" i="4"/>
  <c r="H37" i="4" s="1"/>
  <c r="E37" i="4"/>
  <c r="F37" i="4" s="1"/>
  <c r="C37" i="4"/>
  <c r="D37" i="4" s="1"/>
  <c r="O36" i="4"/>
  <c r="G36" i="4"/>
  <c r="H36" i="4" s="1"/>
  <c r="E36" i="4"/>
  <c r="F36" i="4" s="1"/>
  <c r="C36" i="4"/>
  <c r="D36" i="4" s="1"/>
  <c r="O35" i="4"/>
  <c r="G35" i="4"/>
  <c r="H35" i="4" s="1"/>
  <c r="E35" i="4"/>
  <c r="F35" i="4" s="1"/>
  <c r="C35" i="4"/>
  <c r="D35" i="4" s="1"/>
  <c r="O34" i="4"/>
  <c r="G34" i="4"/>
  <c r="H34" i="4" s="1"/>
  <c r="E34" i="4"/>
  <c r="F34" i="4" s="1"/>
  <c r="C34" i="4"/>
  <c r="D34" i="4" s="1"/>
  <c r="O33" i="4"/>
  <c r="G33" i="4"/>
  <c r="H33" i="4" s="1"/>
  <c r="E33" i="4"/>
  <c r="F33" i="4" s="1"/>
  <c r="C33" i="4"/>
  <c r="D33" i="4" s="1"/>
  <c r="O32" i="4"/>
  <c r="G32" i="4"/>
  <c r="H32" i="4" s="1"/>
  <c r="E32" i="4"/>
  <c r="F32" i="4" s="1"/>
  <c r="C32" i="4"/>
  <c r="D32" i="4" s="1"/>
  <c r="O31" i="4"/>
  <c r="G31" i="4"/>
  <c r="H31" i="4" s="1"/>
  <c r="E31" i="4"/>
  <c r="F31" i="4" s="1"/>
  <c r="C31" i="4"/>
  <c r="D31" i="4" s="1"/>
  <c r="O30" i="4"/>
  <c r="G30" i="4"/>
  <c r="H30" i="4" s="1"/>
  <c r="E30" i="4"/>
  <c r="F30" i="4" s="1"/>
  <c r="C30" i="4"/>
  <c r="D30" i="4" s="1"/>
  <c r="O29" i="4"/>
  <c r="G29" i="4"/>
  <c r="H29" i="4" s="1"/>
  <c r="E29" i="4"/>
  <c r="F29" i="4" s="1"/>
  <c r="C29" i="4"/>
  <c r="D29" i="4" s="1"/>
  <c r="O28" i="4"/>
  <c r="G28" i="4"/>
  <c r="H28" i="4" s="1"/>
  <c r="E28" i="4"/>
  <c r="F28" i="4" s="1"/>
  <c r="C28" i="4"/>
  <c r="D28" i="4" s="1"/>
  <c r="O27" i="4"/>
  <c r="G27" i="4"/>
  <c r="H27" i="4" s="1"/>
  <c r="E27" i="4"/>
  <c r="F27" i="4" s="1"/>
  <c r="C27" i="4"/>
  <c r="D27" i="4" s="1"/>
  <c r="O26" i="4"/>
  <c r="G26" i="4"/>
  <c r="H26" i="4" s="1"/>
  <c r="E26" i="4"/>
  <c r="F26" i="4" s="1"/>
  <c r="C26" i="4"/>
  <c r="D26" i="4" s="1"/>
  <c r="O25" i="4"/>
  <c r="G25" i="4"/>
  <c r="H25" i="4" s="1"/>
  <c r="E25" i="4"/>
  <c r="F25" i="4" s="1"/>
  <c r="C25" i="4"/>
  <c r="D25" i="4" s="1"/>
  <c r="O24" i="4"/>
  <c r="G24" i="4"/>
  <c r="H24" i="4" s="1"/>
  <c r="E24" i="4"/>
  <c r="F24" i="4" s="1"/>
  <c r="C24" i="4"/>
  <c r="D24" i="4" s="1"/>
  <c r="O23" i="4"/>
  <c r="G23" i="4"/>
  <c r="H23" i="4" s="1"/>
  <c r="E23" i="4"/>
  <c r="F23" i="4" s="1"/>
  <c r="C23" i="4"/>
  <c r="D23" i="4" s="1"/>
  <c r="O22" i="4"/>
  <c r="G22" i="4"/>
  <c r="H22" i="4" s="1"/>
  <c r="E22" i="4"/>
  <c r="F22" i="4" s="1"/>
  <c r="C22" i="4"/>
  <c r="D22" i="4" s="1"/>
  <c r="O21" i="4"/>
  <c r="G21" i="4"/>
  <c r="H21" i="4" s="1"/>
  <c r="E21" i="4"/>
  <c r="F21" i="4" s="1"/>
  <c r="C21" i="4"/>
  <c r="D21" i="4" s="1"/>
  <c r="O20" i="4"/>
  <c r="G20" i="4"/>
  <c r="H20" i="4" s="1"/>
  <c r="E20" i="4"/>
  <c r="F20" i="4" s="1"/>
  <c r="C20" i="4"/>
  <c r="D20" i="4" s="1"/>
  <c r="O19" i="4"/>
  <c r="G19" i="4"/>
  <c r="H19" i="4" s="1"/>
  <c r="E19" i="4"/>
  <c r="F19" i="4" s="1"/>
  <c r="C19" i="4"/>
  <c r="D19" i="4" s="1"/>
  <c r="O18" i="4"/>
  <c r="G18" i="4"/>
  <c r="H18" i="4" s="1"/>
  <c r="E18" i="4"/>
  <c r="F18" i="4" s="1"/>
  <c r="C18" i="4"/>
  <c r="D18" i="4" s="1"/>
  <c r="O17" i="4"/>
  <c r="G17" i="4"/>
  <c r="H17" i="4" s="1"/>
  <c r="E17" i="4"/>
  <c r="F17" i="4" s="1"/>
  <c r="C17" i="4"/>
  <c r="D17" i="4" s="1"/>
  <c r="O16" i="4"/>
  <c r="G16" i="4"/>
  <c r="H16" i="4" s="1"/>
  <c r="E16" i="4"/>
  <c r="F16" i="4" s="1"/>
  <c r="C16" i="4"/>
  <c r="D16" i="4" s="1"/>
  <c r="O15" i="4"/>
  <c r="G15" i="4"/>
  <c r="H15" i="4" s="1"/>
  <c r="E15" i="4"/>
  <c r="F15" i="4" s="1"/>
  <c r="C15" i="4"/>
  <c r="D15" i="4" s="1"/>
  <c r="O14" i="4"/>
  <c r="G14" i="4"/>
  <c r="H14" i="4" s="1"/>
  <c r="E14" i="4"/>
  <c r="F14" i="4" s="1"/>
  <c r="C14" i="4"/>
  <c r="D14" i="4" s="1"/>
  <c r="O13" i="4"/>
  <c r="G13" i="4"/>
  <c r="H13" i="4" s="1"/>
  <c r="E13" i="4"/>
  <c r="F13" i="4" s="1"/>
  <c r="C13" i="4"/>
  <c r="D13" i="4" s="1"/>
  <c r="O12" i="4"/>
  <c r="G12" i="4"/>
  <c r="H12" i="4" s="1"/>
  <c r="E12" i="4"/>
  <c r="F12" i="4" s="1"/>
  <c r="C12" i="4"/>
  <c r="D12" i="4" s="1"/>
  <c r="O11" i="4"/>
  <c r="G11" i="4"/>
  <c r="H11" i="4" s="1"/>
  <c r="E11" i="4"/>
  <c r="F11" i="4" s="1"/>
  <c r="C11" i="4"/>
  <c r="D11" i="4" s="1"/>
  <c r="O10" i="4"/>
  <c r="G10" i="4"/>
  <c r="H10" i="4" s="1"/>
  <c r="E10" i="4"/>
  <c r="F10" i="4" s="1"/>
  <c r="C10" i="4"/>
  <c r="D10" i="4" s="1"/>
  <c r="O9" i="4"/>
  <c r="G9" i="4"/>
  <c r="H9" i="4" s="1"/>
  <c r="E9" i="4"/>
  <c r="F9" i="4" s="1"/>
  <c r="C9" i="4"/>
  <c r="D9" i="4" s="1"/>
  <c r="O8" i="4"/>
  <c r="G8" i="4"/>
  <c r="H8" i="4" s="1"/>
  <c r="E8" i="4"/>
  <c r="F8" i="4" s="1"/>
  <c r="C8" i="4"/>
  <c r="D8" i="4" s="1"/>
  <c r="O7" i="4"/>
  <c r="G7" i="4"/>
  <c r="H7" i="4" s="1"/>
  <c r="E7" i="4"/>
  <c r="F7" i="4" s="1"/>
  <c r="C7" i="4"/>
  <c r="D7" i="4" s="1"/>
  <c r="O6" i="4"/>
  <c r="G6" i="4"/>
  <c r="H6" i="4" s="1"/>
  <c r="E6" i="4"/>
  <c r="F6" i="4" s="1"/>
  <c r="C6" i="4"/>
  <c r="D6" i="4" s="1"/>
  <c r="O5" i="4"/>
  <c r="G5" i="4"/>
  <c r="H5" i="4" s="1"/>
  <c r="E5" i="4"/>
  <c r="F5" i="4" s="1"/>
  <c r="C5" i="4"/>
  <c r="D5" i="4" s="1"/>
  <c r="O4" i="4"/>
  <c r="G4" i="4"/>
  <c r="H4" i="4" s="1"/>
  <c r="E4" i="4"/>
  <c r="F4" i="4" s="1"/>
  <c r="C4" i="4"/>
  <c r="D4" i="4" s="1"/>
  <c r="G168" i="3"/>
  <c r="H48" i="5" s="1"/>
  <c r="E168" i="3"/>
  <c r="G167" i="3"/>
  <c r="H47" i="5" s="1"/>
  <c r="E167" i="3"/>
  <c r="G166" i="3"/>
  <c r="H46" i="5" s="1"/>
  <c r="E166" i="3"/>
  <c r="G165" i="3"/>
  <c r="H45" i="5" s="1"/>
  <c r="E165" i="3"/>
  <c r="G164" i="3"/>
  <c r="H44" i="5" s="1"/>
  <c r="C22" i="11" s="1"/>
  <c r="E164" i="3"/>
  <c r="G163" i="3"/>
  <c r="H43" i="5" s="1"/>
  <c r="E163" i="3"/>
  <c r="G162" i="3"/>
  <c r="H42" i="5" s="1"/>
  <c r="E162" i="3"/>
  <c r="G161" i="3"/>
  <c r="H41" i="5" s="1"/>
  <c r="E161" i="3"/>
  <c r="G160" i="3"/>
  <c r="H40" i="5" s="1"/>
  <c r="E160" i="3"/>
  <c r="G159" i="3"/>
  <c r="H39" i="5" s="1"/>
  <c r="C21" i="11" s="1"/>
  <c r="E159" i="3"/>
  <c r="G158" i="3"/>
  <c r="H38" i="5" s="1"/>
  <c r="E158" i="3"/>
  <c r="G157" i="3"/>
  <c r="H37" i="5" s="1"/>
  <c r="E157" i="3"/>
  <c r="G156" i="3"/>
  <c r="H36" i="5" s="1"/>
  <c r="E156" i="3"/>
  <c r="G155" i="3"/>
  <c r="H35" i="5" s="1"/>
  <c r="E155" i="3"/>
  <c r="G154" i="3"/>
  <c r="H34" i="5" s="1"/>
  <c r="C20" i="11" s="1"/>
  <c r="E154" i="3"/>
  <c r="G153" i="3"/>
  <c r="H33" i="5" s="1"/>
  <c r="E153" i="3"/>
  <c r="G152" i="3"/>
  <c r="H32" i="5" s="1"/>
  <c r="E152" i="3"/>
  <c r="G151" i="3"/>
  <c r="H31" i="5" s="1"/>
  <c r="E151" i="3"/>
  <c r="G150" i="3"/>
  <c r="H30" i="5" s="1"/>
  <c r="E150" i="3"/>
  <c r="G149" i="3"/>
  <c r="H29" i="5" s="1"/>
  <c r="C19" i="11" s="1"/>
  <c r="E149" i="3"/>
  <c r="G148" i="3"/>
  <c r="H28" i="5" s="1"/>
  <c r="E148" i="3"/>
  <c r="G147" i="3"/>
  <c r="H27" i="5" s="1"/>
  <c r="E147" i="3"/>
  <c r="G146" i="3"/>
  <c r="H26" i="5" s="1"/>
  <c r="E146" i="3"/>
  <c r="G145" i="3"/>
  <c r="H25" i="5" s="1"/>
  <c r="E145" i="3"/>
  <c r="G144" i="3"/>
  <c r="H24" i="5" s="1"/>
  <c r="C18" i="11" s="1"/>
  <c r="E144" i="3"/>
  <c r="G143" i="3"/>
  <c r="H23" i="5" s="1"/>
  <c r="E143" i="3"/>
  <c r="G142" i="3"/>
  <c r="H22" i="5" s="1"/>
  <c r="E142" i="3"/>
  <c r="G141" i="3"/>
  <c r="H21" i="5" s="1"/>
  <c r="E141" i="3"/>
  <c r="G140" i="3"/>
  <c r="H20" i="5" s="1"/>
  <c r="E140" i="3"/>
  <c r="G139" i="3"/>
  <c r="H19" i="5" s="1"/>
  <c r="E139" i="3"/>
  <c r="G138" i="3"/>
  <c r="H18" i="5" s="1"/>
  <c r="E138" i="3"/>
  <c r="G137" i="3"/>
  <c r="H17" i="5" s="1"/>
  <c r="E137" i="3"/>
  <c r="G136" i="3"/>
  <c r="H16" i="5" s="1"/>
  <c r="E136" i="3"/>
  <c r="G135" i="3"/>
  <c r="H15" i="5" s="1"/>
  <c r="E135" i="3"/>
  <c r="G134" i="3"/>
  <c r="H14" i="5" s="1"/>
  <c r="E134" i="3"/>
  <c r="G133" i="3"/>
  <c r="H13" i="5" s="1"/>
  <c r="E133" i="3"/>
  <c r="G132" i="3"/>
  <c r="H12" i="5" s="1"/>
  <c r="E132" i="3"/>
  <c r="G131" i="3"/>
  <c r="H11" i="5" s="1"/>
  <c r="E131" i="3"/>
  <c r="G130" i="3"/>
  <c r="H10" i="5" s="1"/>
  <c r="E130" i="3"/>
  <c r="G129" i="3"/>
  <c r="H9" i="5" s="1"/>
  <c r="C15" i="11" s="1"/>
  <c r="E129" i="3"/>
  <c r="G128" i="3"/>
  <c r="H8" i="5" s="1"/>
  <c r="E128" i="3"/>
  <c r="G127" i="3"/>
  <c r="H7" i="5" s="1"/>
  <c r="E127" i="3"/>
  <c r="G126" i="3"/>
  <c r="H6" i="5" s="1"/>
  <c r="E126" i="3"/>
  <c r="G125" i="3"/>
  <c r="H5" i="5" s="1"/>
  <c r="E125" i="3"/>
  <c r="G124" i="3"/>
  <c r="H4" i="5" s="1"/>
  <c r="E124" i="3"/>
  <c r="G123" i="3"/>
  <c r="E123" i="3"/>
  <c r="H123" i="3" s="1"/>
  <c r="G122" i="3"/>
  <c r="E122" i="3"/>
  <c r="H122" i="3" s="1"/>
  <c r="G121" i="3"/>
  <c r="E121" i="3"/>
  <c r="H121" i="3" s="1"/>
  <c r="G120" i="3"/>
  <c r="E120" i="3"/>
  <c r="H120" i="3" s="1"/>
  <c r="G119" i="3"/>
  <c r="E119" i="3"/>
  <c r="H119" i="3" s="1"/>
  <c r="G118" i="3"/>
  <c r="E118" i="3"/>
  <c r="H118" i="3" s="1"/>
  <c r="G117" i="3"/>
  <c r="E117" i="3"/>
  <c r="H117" i="3" s="1"/>
  <c r="G116" i="3"/>
  <c r="E116" i="3"/>
  <c r="H116" i="3" s="1"/>
  <c r="G115" i="3"/>
  <c r="E115" i="3"/>
  <c r="H115" i="3" s="1"/>
  <c r="G114" i="3"/>
  <c r="E114" i="3"/>
  <c r="H114" i="3" s="1"/>
  <c r="G113" i="3"/>
  <c r="E113" i="3"/>
  <c r="H113" i="3" s="1"/>
  <c r="G112" i="3"/>
  <c r="E112" i="3"/>
  <c r="H112" i="3" s="1"/>
  <c r="G111" i="3"/>
  <c r="E111" i="3"/>
  <c r="H111" i="3" s="1"/>
  <c r="G110" i="3"/>
  <c r="E110" i="3"/>
  <c r="H110" i="3" s="1"/>
  <c r="G109" i="3"/>
  <c r="E109" i="3"/>
  <c r="H109" i="3" s="1"/>
  <c r="G108" i="3"/>
  <c r="E108" i="3"/>
  <c r="H108" i="3" s="1"/>
  <c r="G107" i="3"/>
  <c r="E107" i="3"/>
  <c r="H107" i="3" s="1"/>
  <c r="G106" i="3"/>
  <c r="E106" i="3"/>
  <c r="H106" i="3" s="1"/>
  <c r="G105" i="3"/>
  <c r="E105" i="3"/>
  <c r="H105" i="3" s="1"/>
  <c r="G104" i="3"/>
  <c r="E104" i="3"/>
  <c r="H104" i="3" s="1"/>
  <c r="G103" i="3"/>
  <c r="E103" i="3"/>
  <c r="H103" i="3" s="1"/>
  <c r="G102" i="3"/>
  <c r="E102" i="3"/>
  <c r="H102" i="3" s="1"/>
  <c r="G101" i="3"/>
  <c r="E101" i="3"/>
  <c r="H101" i="3" s="1"/>
  <c r="G100" i="3"/>
  <c r="E100" i="3"/>
  <c r="H100" i="3" s="1"/>
  <c r="G99" i="3"/>
  <c r="E99" i="3"/>
  <c r="H99" i="3" s="1"/>
  <c r="G98" i="3"/>
  <c r="E98" i="3"/>
  <c r="H98" i="3" s="1"/>
  <c r="G97" i="3"/>
  <c r="E97" i="3"/>
  <c r="H97" i="3" s="1"/>
  <c r="G96" i="3"/>
  <c r="E96" i="3"/>
  <c r="H96" i="3" s="1"/>
  <c r="G95" i="3"/>
  <c r="E95" i="3"/>
  <c r="H95" i="3" s="1"/>
  <c r="G94" i="3"/>
  <c r="E94" i="3"/>
  <c r="H94" i="3" s="1"/>
  <c r="G93" i="3"/>
  <c r="E93" i="3"/>
  <c r="H93" i="3" s="1"/>
  <c r="G92" i="3"/>
  <c r="E92" i="3"/>
  <c r="H92" i="3" s="1"/>
  <c r="G91" i="3"/>
  <c r="E91" i="3"/>
  <c r="H91" i="3" s="1"/>
  <c r="G90" i="3"/>
  <c r="E90" i="3"/>
  <c r="H90" i="3" s="1"/>
  <c r="G89" i="3"/>
  <c r="E89" i="3"/>
  <c r="H89" i="3" s="1"/>
  <c r="G88" i="3"/>
  <c r="E88" i="3"/>
  <c r="H88" i="3" s="1"/>
  <c r="G87" i="3"/>
  <c r="E87" i="3"/>
  <c r="H87" i="3" s="1"/>
  <c r="G86" i="3"/>
  <c r="E86" i="3"/>
  <c r="H86" i="3" s="1"/>
  <c r="G85" i="3"/>
  <c r="E85" i="3"/>
  <c r="H85" i="3" s="1"/>
  <c r="G84" i="3"/>
  <c r="E84" i="3"/>
  <c r="G83" i="3"/>
  <c r="E83" i="3"/>
  <c r="H83" i="3" s="1"/>
  <c r="G82" i="3"/>
  <c r="E82" i="3"/>
  <c r="H82" i="3" s="1"/>
  <c r="G81" i="3"/>
  <c r="E81" i="3"/>
  <c r="H81" i="3" s="1"/>
  <c r="G80" i="3"/>
  <c r="E80" i="3"/>
  <c r="H80" i="3" s="1"/>
  <c r="G79" i="3"/>
  <c r="E79" i="3"/>
  <c r="H79" i="3" s="1"/>
  <c r="G78" i="3"/>
  <c r="E78" i="3"/>
  <c r="H78" i="3" s="1"/>
  <c r="G77" i="3"/>
  <c r="E77" i="3"/>
  <c r="H77" i="3" s="1"/>
  <c r="G76" i="3"/>
  <c r="E76" i="3"/>
  <c r="H76" i="3" s="1"/>
  <c r="G75" i="3"/>
  <c r="E75" i="3"/>
  <c r="H75" i="3" s="1"/>
  <c r="G74" i="3"/>
  <c r="E74" i="3"/>
  <c r="H74" i="3" s="1"/>
  <c r="G73" i="3"/>
  <c r="E73" i="3"/>
  <c r="H73" i="3" s="1"/>
  <c r="G72" i="3"/>
  <c r="E72" i="3"/>
  <c r="H72" i="3" s="1"/>
  <c r="G71" i="3"/>
  <c r="E71" i="3"/>
  <c r="H71" i="3" s="1"/>
  <c r="G70" i="3"/>
  <c r="E70" i="3"/>
  <c r="H70" i="3" s="1"/>
  <c r="G69" i="3"/>
  <c r="E69" i="3"/>
  <c r="H69" i="3" s="1"/>
  <c r="G68" i="3"/>
  <c r="E68" i="3"/>
  <c r="G67" i="3"/>
  <c r="E67" i="3"/>
  <c r="H67" i="3" s="1"/>
  <c r="G66" i="3"/>
  <c r="E66" i="3"/>
  <c r="G65" i="3"/>
  <c r="E65" i="3"/>
  <c r="H65" i="3" s="1"/>
  <c r="G64" i="3"/>
  <c r="E64" i="3"/>
  <c r="H64" i="3" s="1"/>
  <c r="G63" i="3"/>
  <c r="E63" i="3"/>
  <c r="H63" i="3" s="1"/>
  <c r="G62" i="3"/>
  <c r="E62" i="3"/>
  <c r="H62" i="3" s="1"/>
  <c r="G61" i="3"/>
  <c r="E61" i="3"/>
  <c r="H61" i="3" s="1"/>
  <c r="G60" i="3"/>
  <c r="E60" i="3"/>
  <c r="H60" i="3" s="1"/>
  <c r="G59" i="3"/>
  <c r="E59" i="3"/>
  <c r="H59" i="3" s="1"/>
  <c r="G58" i="3"/>
  <c r="E58" i="3"/>
  <c r="H58" i="3" s="1"/>
  <c r="G57" i="3"/>
  <c r="E57" i="3"/>
  <c r="H57" i="3" s="1"/>
  <c r="G56" i="3"/>
  <c r="E56" i="3"/>
  <c r="H56" i="3" s="1"/>
  <c r="G55" i="3"/>
  <c r="E55" i="3"/>
  <c r="H55" i="3" s="1"/>
  <c r="G54" i="3"/>
  <c r="E54" i="3"/>
  <c r="G53" i="3"/>
  <c r="E53" i="3"/>
  <c r="H53" i="3" s="1"/>
  <c r="G52" i="3"/>
  <c r="E52" i="3"/>
  <c r="H52" i="3" s="1"/>
  <c r="G51" i="3"/>
  <c r="E51" i="3"/>
  <c r="H51" i="3" s="1"/>
  <c r="G50" i="3"/>
  <c r="E50" i="3"/>
  <c r="G49" i="3"/>
  <c r="E49" i="3"/>
  <c r="H49" i="3" s="1"/>
  <c r="G48" i="3"/>
  <c r="E48" i="3"/>
  <c r="H48" i="3" s="1"/>
  <c r="G47" i="3"/>
  <c r="E47" i="3"/>
  <c r="G46" i="3"/>
  <c r="E46" i="3"/>
  <c r="H46" i="3" s="1"/>
  <c r="G45" i="3"/>
  <c r="E45" i="3"/>
  <c r="H45" i="3" s="1"/>
  <c r="G44" i="3"/>
  <c r="E44" i="3"/>
  <c r="H44" i="3" s="1"/>
  <c r="G43" i="3"/>
  <c r="E43" i="3"/>
  <c r="H43" i="3" s="1"/>
  <c r="G42" i="3"/>
  <c r="E42" i="3"/>
  <c r="H42" i="3" s="1"/>
  <c r="G41" i="3"/>
  <c r="E41" i="3"/>
  <c r="H41" i="3" s="1"/>
  <c r="G40" i="3"/>
  <c r="E40" i="3"/>
  <c r="H40" i="3" s="1"/>
  <c r="G39" i="3"/>
  <c r="E39" i="3"/>
  <c r="H39" i="3" s="1"/>
  <c r="G38" i="3"/>
  <c r="E38" i="3"/>
  <c r="H38" i="3" s="1"/>
  <c r="G37" i="3"/>
  <c r="E37" i="3"/>
  <c r="H37" i="3" s="1"/>
  <c r="G36" i="3"/>
  <c r="E36" i="3"/>
  <c r="H36" i="3" s="1"/>
  <c r="G35" i="3"/>
  <c r="E35" i="3"/>
  <c r="G34" i="3"/>
  <c r="E34" i="3"/>
  <c r="H34" i="3" s="1"/>
  <c r="G33" i="3"/>
  <c r="E33" i="3"/>
  <c r="H33" i="3" s="1"/>
  <c r="G32" i="3"/>
  <c r="E32" i="3"/>
  <c r="H32" i="3" s="1"/>
  <c r="G31" i="3"/>
  <c r="E31" i="3"/>
  <c r="H31" i="3" s="1"/>
  <c r="G30" i="3"/>
  <c r="E30" i="3"/>
  <c r="H30" i="3" s="1"/>
  <c r="G29" i="3"/>
  <c r="E29" i="3"/>
  <c r="H29" i="3" s="1"/>
  <c r="G28" i="3"/>
  <c r="E28" i="3"/>
  <c r="G27" i="3"/>
  <c r="E27" i="3"/>
  <c r="G26" i="3"/>
  <c r="E26" i="3"/>
  <c r="G25" i="3"/>
  <c r="E25" i="3"/>
  <c r="G24" i="3"/>
  <c r="E24" i="3"/>
  <c r="H24" i="3" s="1"/>
  <c r="G23" i="3"/>
  <c r="E23" i="3"/>
  <c r="H23" i="3" s="1"/>
  <c r="G22" i="3"/>
  <c r="E22" i="3"/>
  <c r="G21" i="3"/>
  <c r="E21" i="3"/>
  <c r="H21" i="3" s="1"/>
  <c r="G20" i="3"/>
  <c r="E20" i="3"/>
  <c r="H20" i="3" s="1"/>
  <c r="G19" i="3"/>
  <c r="E19" i="3"/>
  <c r="G18" i="3"/>
  <c r="E18" i="3"/>
  <c r="G17" i="3"/>
  <c r="E17" i="3"/>
  <c r="G16" i="3"/>
  <c r="E16" i="3"/>
  <c r="G15" i="3"/>
  <c r="E15" i="3"/>
  <c r="H15" i="3" s="1"/>
  <c r="G14" i="3"/>
  <c r="E14" i="3"/>
  <c r="H14" i="3" s="1"/>
  <c r="G13" i="3"/>
  <c r="E13" i="3"/>
  <c r="H13" i="3" s="1"/>
  <c r="G12" i="3"/>
  <c r="E12" i="3"/>
  <c r="H12" i="3" s="1"/>
  <c r="G11" i="3"/>
  <c r="E11" i="3"/>
  <c r="H11" i="3" s="1"/>
  <c r="G10" i="3"/>
  <c r="E10" i="3"/>
  <c r="G9" i="3"/>
  <c r="E9" i="3"/>
  <c r="H9" i="3" s="1"/>
  <c r="G8" i="3"/>
  <c r="E8" i="3"/>
  <c r="H8" i="3" s="1"/>
  <c r="G7" i="3"/>
  <c r="E7" i="3"/>
  <c r="H7" i="3" s="1"/>
  <c r="G6" i="3"/>
  <c r="E6" i="3"/>
  <c r="H6" i="3" s="1"/>
  <c r="G5" i="3"/>
  <c r="E5" i="3"/>
  <c r="H5" i="3" s="1"/>
  <c r="G4" i="3"/>
  <c r="E4" i="3"/>
  <c r="H4" i="3" s="1"/>
  <c r="F16" i="2"/>
  <c r="E16" i="2"/>
  <c r="D16" i="2"/>
  <c r="C16" i="2"/>
  <c r="B16" i="2"/>
  <c r="H10" i="3" l="1"/>
  <c r="O25" i="10"/>
  <c r="H27" i="3"/>
  <c r="I27" i="3" s="1"/>
  <c r="O26" i="10"/>
  <c r="H35" i="3"/>
  <c r="H28" i="3"/>
  <c r="H25" i="3"/>
  <c r="H19" i="3"/>
  <c r="H16" i="3"/>
  <c r="O28" i="10"/>
  <c r="C34" i="10"/>
  <c r="H38" i="9"/>
  <c r="N35" i="4" s="1"/>
  <c r="I26" i="15"/>
  <c r="G38" i="9"/>
  <c r="N30" i="4" s="1"/>
  <c r="H66" i="3"/>
  <c r="F38" i="9"/>
  <c r="N25" i="4" s="1"/>
  <c r="E38" i="9"/>
  <c r="N20" i="4" s="1"/>
  <c r="D38" i="9"/>
  <c r="N15" i="4" s="1"/>
  <c r="C38" i="9"/>
  <c r="N10" i="4" s="1"/>
  <c r="B38" i="9"/>
  <c r="C14" i="11"/>
  <c r="H84" i="3"/>
  <c r="H54" i="3"/>
  <c r="H47" i="3"/>
  <c r="H26" i="3"/>
  <c r="H22" i="3"/>
  <c r="H18" i="3"/>
  <c r="E54" i="5"/>
  <c r="G52" i="5"/>
  <c r="E50" i="5"/>
  <c r="M49" i="5"/>
  <c r="G63" i="5"/>
  <c r="M62" i="5"/>
  <c r="E61" i="5"/>
  <c r="M60" i="5"/>
  <c r="E60" i="5"/>
  <c r="E59" i="5"/>
  <c r="G58" i="5"/>
  <c r="M57" i="5"/>
  <c r="E56" i="5"/>
  <c r="G55" i="5"/>
  <c r="G54" i="5"/>
  <c r="G53" i="5"/>
  <c r="G51" i="5"/>
  <c r="E49" i="5"/>
  <c r="M37" i="9"/>
  <c r="N59" i="4" s="1"/>
  <c r="L59" i="5" s="1"/>
  <c r="L37" i="9"/>
  <c r="N54" i="4" s="1"/>
  <c r="L54" i="5" s="1"/>
  <c r="K37" i="9"/>
  <c r="N49" i="4" s="1"/>
  <c r="L49" i="5" s="1"/>
  <c r="J37" i="9"/>
  <c r="N44" i="4" s="1"/>
  <c r="I37" i="9"/>
  <c r="N39" i="4" s="1"/>
  <c r="H37" i="9"/>
  <c r="N34" i="4" s="1"/>
  <c r="G37" i="9"/>
  <c r="N29" i="4" s="1"/>
  <c r="E63" i="5"/>
  <c r="E62" i="5"/>
  <c r="G61" i="5"/>
  <c r="G59" i="5"/>
  <c r="M58" i="5"/>
  <c r="G57" i="5"/>
  <c r="M56" i="5"/>
  <c r="M55" i="5"/>
  <c r="M54" i="5"/>
  <c r="M53" i="5"/>
  <c r="M52" i="5"/>
  <c r="M51" i="5"/>
  <c r="M50" i="5"/>
  <c r="G49" i="5"/>
  <c r="M63" i="5"/>
  <c r="G62" i="5"/>
  <c r="M61" i="5"/>
  <c r="G60" i="5"/>
  <c r="M59" i="5"/>
  <c r="E58" i="5"/>
  <c r="E57" i="5"/>
  <c r="G56" i="5"/>
  <c r="E55" i="5"/>
  <c r="D54" i="5"/>
  <c r="E53" i="5"/>
  <c r="E52" i="5"/>
  <c r="E51" i="5"/>
  <c r="G50" i="5"/>
  <c r="H50" i="3"/>
  <c r="H130" i="3"/>
  <c r="F10" i="5"/>
  <c r="H129" i="3"/>
  <c r="F9" i="5"/>
  <c r="H128" i="3"/>
  <c r="F8" i="5"/>
  <c r="H127" i="3"/>
  <c r="F7" i="5"/>
  <c r="H126" i="3"/>
  <c r="F6" i="5"/>
  <c r="H125" i="3"/>
  <c r="F5" i="5"/>
  <c r="H124" i="3"/>
  <c r="F4" i="5"/>
  <c r="I27" i="15"/>
  <c r="C16" i="11"/>
  <c r="H134" i="3"/>
  <c r="F14" i="5"/>
  <c r="H133" i="3"/>
  <c r="F13" i="5"/>
  <c r="H132" i="3"/>
  <c r="F12" i="5"/>
  <c r="H131" i="3"/>
  <c r="F11" i="5"/>
  <c r="G33" i="10"/>
  <c r="O19" i="11" s="1"/>
  <c r="F33" i="10"/>
  <c r="O18" i="11" s="1"/>
  <c r="E33" i="10"/>
  <c r="O17" i="11" s="1"/>
  <c r="D33" i="10"/>
  <c r="O16" i="11" s="1"/>
  <c r="C33" i="10"/>
  <c r="O15" i="11" s="1"/>
  <c r="M34" i="10"/>
  <c r="L34" i="10"/>
  <c r="K34" i="10"/>
  <c r="M40" i="9"/>
  <c r="N62" i="4" s="1"/>
  <c r="L62" i="5" s="1"/>
  <c r="L40" i="9"/>
  <c r="N57" i="4" s="1"/>
  <c r="L57" i="5" s="1"/>
  <c r="K40" i="9"/>
  <c r="N52" i="4" s="1"/>
  <c r="L52" i="5" s="1"/>
  <c r="J40" i="9"/>
  <c r="N47" i="4" s="1"/>
  <c r="I40" i="9"/>
  <c r="N42" i="4" s="1"/>
  <c r="H40" i="9"/>
  <c r="N37" i="4" s="1"/>
  <c r="G40" i="9"/>
  <c r="N32" i="4" s="1"/>
  <c r="F40" i="9"/>
  <c r="N27" i="4" s="1"/>
  <c r="E40" i="9"/>
  <c r="N22" i="4" s="1"/>
  <c r="D40" i="9"/>
  <c r="N17" i="4" s="1"/>
  <c r="C40" i="9"/>
  <c r="N12" i="4" s="1"/>
  <c r="B40" i="9"/>
  <c r="F37" i="9"/>
  <c r="N24" i="4" s="1"/>
  <c r="E37" i="9"/>
  <c r="N19" i="4" s="1"/>
  <c r="D37" i="9"/>
  <c r="N14" i="4" s="1"/>
  <c r="C37" i="9"/>
  <c r="N9" i="4" s="1"/>
  <c r="B37" i="9"/>
  <c r="H17" i="3"/>
  <c r="H68" i="3"/>
  <c r="H24" i="15"/>
  <c r="B26" i="15"/>
  <c r="B25" i="15"/>
  <c r="G25" i="15"/>
  <c r="F18" i="5"/>
  <c r="H138" i="3"/>
  <c r="H137" i="3"/>
  <c r="F17" i="5"/>
  <c r="H136" i="3"/>
  <c r="F16" i="5"/>
  <c r="H135" i="3"/>
  <c r="F15" i="5"/>
  <c r="I28" i="15"/>
  <c r="I23" i="15"/>
  <c r="B37" i="13"/>
  <c r="B36" i="13"/>
  <c r="D20" i="13"/>
  <c r="C21" i="13"/>
  <c r="C24" i="13" s="1"/>
  <c r="C26" i="13" s="1"/>
  <c r="C31" i="13"/>
  <c r="C30" i="11"/>
  <c r="G66" i="7"/>
  <c r="I34" i="17"/>
  <c r="G15" i="11"/>
  <c r="I15" i="11"/>
  <c r="B34" i="10"/>
  <c r="O24" i="10"/>
  <c r="O25" i="11"/>
  <c r="J24" i="12"/>
  <c r="J25" i="12"/>
  <c r="J26" i="12"/>
  <c r="J27" i="12"/>
  <c r="J28" i="12"/>
  <c r="O24" i="11"/>
  <c r="J20" i="12"/>
  <c r="J21" i="12"/>
  <c r="J22" i="12"/>
  <c r="J23" i="12"/>
  <c r="O23" i="11"/>
  <c r="J16" i="12"/>
  <c r="J17" i="12"/>
  <c r="J18" i="12"/>
  <c r="J19" i="12"/>
  <c r="B33" i="10"/>
  <c r="O23" i="10"/>
  <c r="O22" i="10"/>
  <c r="J34" i="10"/>
  <c r="I38" i="17"/>
  <c r="I17" i="18"/>
  <c r="N46" i="9"/>
  <c r="A66" i="7"/>
  <c r="N41" i="9"/>
  <c r="N8" i="4"/>
  <c r="N39" i="9"/>
  <c r="N6" i="4"/>
  <c r="J63" i="4"/>
  <c r="D63" i="5"/>
  <c r="I63" i="4"/>
  <c r="I62" i="4"/>
  <c r="J62" i="4"/>
  <c r="D62" i="5"/>
  <c r="I61" i="4"/>
  <c r="J61" i="4"/>
  <c r="D61" i="5"/>
  <c r="I60" i="4"/>
  <c r="J60" i="4"/>
  <c r="D60" i="5"/>
  <c r="I59" i="4"/>
  <c r="J59" i="4"/>
  <c r="D59" i="5"/>
  <c r="J58" i="4"/>
  <c r="I58" i="4"/>
  <c r="D58" i="5"/>
  <c r="I57" i="4"/>
  <c r="J57" i="4"/>
  <c r="D57" i="5"/>
  <c r="I56" i="4"/>
  <c r="J56" i="4"/>
  <c r="D56" i="5"/>
  <c r="I55" i="4"/>
  <c r="J55" i="4"/>
  <c r="D55" i="5"/>
  <c r="I54" i="4"/>
  <c r="J54" i="4"/>
  <c r="I53" i="4"/>
  <c r="D53" i="5"/>
  <c r="J53" i="4"/>
  <c r="J52" i="4"/>
  <c r="D52" i="5"/>
  <c r="I52" i="4"/>
  <c r="I51" i="4"/>
  <c r="J51" i="4"/>
  <c r="D51" i="5"/>
  <c r="I50" i="4"/>
  <c r="J50" i="4"/>
  <c r="D50" i="5"/>
  <c r="I49" i="4"/>
  <c r="J49" i="4"/>
  <c r="D49" i="5"/>
  <c r="I48" i="4"/>
  <c r="J48" i="4"/>
  <c r="I47" i="4"/>
  <c r="J47" i="4"/>
  <c r="I46" i="4"/>
  <c r="J46" i="4"/>
  <c r="I45" i="4"/>
  <c r="J45" i="4"/>
  <c r="I44" i="4"/>
  <c r="J44" i="4"/>
  <c r="I43" i="4"/>
  <c r="J43" i="4"/>
  <c r="I42" i="4"/>
  <c r="J42" i="4"/>
  <c r="I41" i="4"/>
  <c r="J41" i="4"/>
  <c r="I40" i="4"/>
  <c r="J40" i="4"/>
  <c r="I39" i="4"/>
  <c r="J39" i="4"/>
  <c r="I38" i="4"/>
  <c r="J38" i="4"/>
  <c r="I37" i="4"/>
  <c r="J37" i="4"/>
  <c r="I36" i="4"/>
  <c r="J36" i="4"/>
  <c r="I35" i="4"/>
  <c r="J35" i="4"/>
  <c r="I34" i="4"/>
  <c r="J34" i="4"/>
  <c r="I33" i="4"/>
  <c r="J33" i="4"/>
  <c r="I32" i="4"/>
  <c r="J32" i="4"/>
  <c r="I31" i="4"/>
  <c r="J31" i="4"/>
  <c r="I30" i="4"/>
  <c r="J30" i="4"/>
  <c r="I29" i="4"/>
  <c r="J29" i="4"/>
  <c r="I28" i="4"/>
  <c r="J28" i="4"/>
  <c r="I27" i="4"/>
  <c r="J27" i="4"/>
  <c r="I26" i="4"/>
  <c r="J26" i="4"/>
  <c r="I25" i="4"/>
  <c r="J25" i="4"/>
  <c r="I24" i="4"/>
  <c r="J24" i="4"/>
  <c r="I23" i="4"/>
  <c r="J23" i="4"/>
  <c r="I22" i="4"/>
  <c r="J22" i="4"/>
  <c r="I21" i="4"/>
  <c r="J21" i="4"/>
  <c r="I20" i="4"/>
  <c r="J20" i="4"/>
  <c r="I19" i="4"/>
  <c r="J19" i="4"/>
  <c r="I18" i="4"/>
  <c r="J18" i="4"/>
  <c r="I17" i="4"/>
  <c r="J17" i="4"/>
  <c r="I16" i="4"/>
  <c r="J16" i="4"/>
  <c r="I15" i="4"/>
  <c r="J15" i="4"/>
  <c r="I14" i="4"/>
  <c r="J14" i="4"/>
  <c r="I13" i="4"/>
  <c r="J13" i="4"/>
  <c r="I12" i="4"/>
  <c r="J12" i="4"/>
  <c r="I11" i="4"/>
  <c r="J11" i="4"/>
  <c r="I10" i="4"/>
  <c r="J10" i="4"/>
  <c r="I9" i="4"/>
  <c r="J9" i="4"/>
  <c r="I8" i="4"/>
  <c r="J8" i="4"/>
  <c r="B11" i="14"/>
  <c r="I7" i="4"/>
  <c r="J7" i="4"/>
  <c r="B10" i="14"/>
  <c r="I6" i="4"/>
  <c r="J6" i="4"/>
  <c r="B9" i="14"/>
  <c r="I5" i="4"/>
  <c r="J5" i="4"/>
  <c r="B8" i="14"/>
  <c r="I4" i="4"/>
  <c r="J4" i="4"/>
  <c r="B14" i="14"/>
  <c r="B7" i="14"/>
  <c r="H168" i="3"/>
  <c r="F48" i="5"/>
  <c r="F47" i="5"/>
  <c r="H167" i="3"/>
  <c r="H166" i="3"/>
  <c r="F46" i="5"/>
  <c r="F45" i="5"/>
  <c r="H165" i="3"/>
  <c r="G22" i="11"/>
  <c r="I22" i="11"/>
  <c r="H164" i="3"/>
  <c r="F44" i="5"/>
  <c r="H163" i="3"/>
  <c r="F43" i="5"/>
  <c r="F42" i="5"/>
  <c r="H162" i="3"/>
  <c r="F41" i="5"/>
  <c r="H161" i="3"/>
  <c r="F40" i="5"/>
  <c r="H160" i="3"/>
  <c r="G21" i="11"/>
  <c r="I21" i="11"/>
  <c r="F39" i="5"/>
  <c r="H159" i="3"/>
  <c r="F38" i="5"/>
  <c r="H158" i="3"/>
  <c r="H157" i="3"/>
  <c r="F37" i="5"/>
  <c r="H156" i="3"/>
  <c r="F36" i="5"/>
  <c r="F35" i="5"/>
  <c r="H155" i="3"/>
  <c r="G20" i="11"/>
  <c r="I20" i="11"/>
  <c r="F34" i="5"/>
  <c r="H154" i="3"/>
  <c r="F33" i="5"/>
  <c r="H153" i="3"/>
  <c r="F32" i="5"/>
  <c r="H152" i="3"/>
  <c r="F31" i="5"/>
  <c r="H151" i="3"/>
  <c r="H150" i="3"/>
  <c r="F30" i="5"/>
  <c r="G19" i="11"/>
  <c r="I19" i="11"/>
  <c r="H149" i="3"/>
  <c r="F29" i="5"/>
  <c r="F28" i="5"/>
  <c r="H148" i="3"/>
  <c r="H147" i="3"/>
  <c r="F27" i="5"/>
  <c r="F26" i="5"/>
  <c r="H146" i="3"/>
  <c r="F25" i="5"/>
  <c r="H145" i="3"/>
  <c r="G18" i="11"/>
  <c r="I18" i="11"/>
  <c r="F24" i="5"/>
  <c r="H144" i="3"/>
  <c r="H143" i="3"/>
  <c r="F23" i="5"/>
  <c r="F22" i="5"/>
  <c r="H142" i="3"/>
  <c r="H141" i="3"/>
  <c r="F21" i="5"/>
  <c r="F20" i="5"/>
  <c r="H140" i="3"/>
  <c r="C17" i="11"/>
  <c r="H139" i="3"/>
  <c r="F19" i="5"/>
  <c r="I123" i="3"/>
  <c r="M123" i="3"/>
  <c r="N123" i="3" s="1"/>
  <c r="I122" i="3"/>
  <c r="M122" i="3"/>
  <c r="N122" i="3" s="1"/>
  <c r="I121" i="3"/>
  <c r="M121" i="3"/>
  <c r="N121" i="3" s="1"/>
  <c r="I120" i="3"/>
  <c r="M120" i="3"/>
  <c r="N120" i="3" s="1"/>
  <c r="I119" i="3"/>
  <c r="M119" i="3"/>
  <c r="N119" i="3" s="1"/>
  <c r="I118" i="3"/>
  <c r="M118" i="3"/>
  <c r="N118" i="3" s="1"/>
  <c r="I117" i="3"/>
  <c r="M117" i="3"/>
  <c r="N117" i="3" s="1"/>
  <c r="I116" i="3"/>
  <c r="M116" i="3"/>
  <c r="N116" i="3" s="1"/>
  <c r="I115" i="3"/>
  <c r="M115" i="3"/>
  <c r="N115" i="3" s="1"/>
  <c r="I114" i="3"/>
  <c r="M114" i="3"/>
  <c r="N114" i="3" s="1"/>
  <c r="I113" i="3"/>
  <c r="M113" i="3"/>
  <c r="N113" i="3" s="1"/>
  <c r="I112" i="3"/>
  <c r="M112" i="3"/>
  <c r="N112" i="3" s="1"/>
  <c r="I111" i="3"/>
  <c r="M111" i="3"/>
  <c r="N111" i="3" s="1"/>
  <c r="I110" i="3"/>
  <c r="M110" i="3"/>
  <c r="N110" i="3" s="1"/>
  <c r="I109" i="3"/>
  <c r="M109" i="3"/>
  <c r="N109" i="3" s="1"/>
  <c r="I108" i="3"/>
  <c r="M108" i="3"/>
  <c r="N108" i="3" s="1"/>
  <c r="I107" i="3"/>
  <c r="M107" i="3"/>
  <c r="N107" i="3" s="1"/>
  <c r="I106" i="3"/>
  <c r="M106" i="3"/>
  <c r="N106" i="3" s="1"/>
  <c r="I105" i="3"/>
  <c r="M105" i="3"/>
  <c r="N105" i="3" s="1"/>
  <c r="I104" i="3"/>
  <c r="M104" i="3"/>
  <c r="N104" i="3" s="1"/>
  <c r="I103" i="3"/>
  <c r="M103" i="3"/>
  <c r="N103" i="3" s="1"/>
  <c r="I102" i="3"/>
  <c r="M102" i="3"/>
  <c r="N102" i="3" s="1"/>
  <c r="I101" i="3"/>
  <c r="M101" i="3"/>
  <c r="N101" i="3" s="1"/>
  <c r="I100" i="3"/>
  <c r="M100" i="3"/>
  <c r="N100" i="3" s="1"/>
  <c r="I99" i="3"/>
  <c r="M99" i="3"/>
  <c r="N99" i="3" s="1"/>
  <c r="I98" i="3"/>
  <c r="M98" i="3"/>
  <c r="N98" i="3" s="1"/>
  <c r="I97" i="3"/>
  <c r="M97" i="3"/>
  <c r="N97" i="3" s="1"/>
  <c r="I96" i="3"/>
  <c r="M96" i="3"/>
  <c r="N96" i="3" s="1"/>
  <c r="I95" i="3"/>
  <c r="M95" i="3"/>
  <c r="N95" i="3" s="1"/>
  <c r="I94" i="3"/>
  <c r="M94" i="3"/>
  <c r="N94" i="3" s="1"/>
  <c r="I93" i="3"/>
  <c r="M93" i="3"/>
  <c r="N93" i="3" s="1"/>
  <c r="I92" i="3"/>
  <c r="M92" i="3"/>
  <c r="N92" i="3" s="1"/>
  <c r="I91" i="3"/>
  <c r="M91" i="3"/>
  <c r="N91" i="3" s="1"/>
  <c r="I90" i="3"/>
  <c r="M90" i="3"/>
  <c r="N90" i="3" s="1"/>
  <c r="I89" i="3"/>
  <c r="M89" i="3"/>
  <c r="N89" i="3" s="1"/>
  <c r="I88" i="3"/>
  <c r="M88" i="3"/>
  <c r="N88" i="3" s="1"/>
  <c r="I87" i="3"/>
  <c r="M87" i="3"/>
  <c r="N87" i="3" s="1"/>
  <c r="I86" i="3"/>
  <c r="M86" i="3"/>
  <c r="N86" i="3" s="1"/>
  <c r="I85" i="3"/>
  <c r="M85" i="3"/>
  <c r="N85" i="3" s="1"/>
  <c r="I83" i="3"/>
  <c r="M83" i="3"/>
  <c r="N83" i="3" s="1"/>
  <c r="I82" i="3"/>
  <c r="M82" i="3"/>
  <c r="N82" i="3" s="1"/>
  <c r="I81" i="3"/>
  <c r="M81" i="3"/>
  <c r="N81" i="3" s="1"/>
  <c r="I80" i="3"/>
  <c r="M80" i="3"/>
  <c r="N80" i="3" s="1"/>
  <c r="I79" i="3"/>
  <c r="M79" i="3"/>
  <c r="N79" i="3" s="1"/>
  <c r="I78" i="3"/>
  <c r="M78" i="3"/>
  <c r="N78" i="3" s="1"/>
  <c r="I77" i="3"/>
  <c r="M77" i="3"/>
  <c r="N77" i="3" s="1"/>
  <c r="I76" i="3"/>
  <c r="M76" i="3"/>
  <c r="N76" i="3" s="1"/>
  <c r="I75" i="3"/>
  <c r="M75" i="3"/>
  <c r="N75" i="3" s="1"/>
  <c r="I74" i="3"/>
  <c r="M74" i="3"/>
  <c r="N74" i="3" s="1"/>
  <c r="I73" i="3"/>
  <c r="M73" i="3"/>
  <c r="N73" i="3" s="1"/>
  <c r="I72" i="3"/>
  <c r="M72" i="3"/>
  <c r="N72" i="3" s="1"/>
  <c r="I71" i="3"/>
  <c r="M71" i="3"/>
  <c r="N71" i="3" s="1"/>
  <c r="I70" i="3"/>
  <c r="M70" i="3"/>
  <c r="N70" i="3" s="1"/>
  <c r="I69" i="3"/>
  <c r="M69" i="3"/>
  <c r="N69" i="3" s="1"/>
  <c r="I67" i="3"/>
  <c r="M67" i="3"/>
  <c r="N67" i="3" s="1"/>
  <c r="I65" i="3"/>
  <c r="M65" i="3"/>
  <c r="N65" i="3" s="1"/>
  <c r="I64" i="3"/>
  <c r="M64" i="3"/>
  <c r="N64" i="3" s="1"/>
  <c r="I63" i="3"/>
  <c r="M63" i="3"/>
  <c r="N63" i="3" s="1"/>
  <c r="I62" i="3"/>
  <c r="M62" i="3"/>
  <c r="N62" i="3" s="1"/>
  <c r="I61" i="3"/>
  <c r="M61" i="3"/>
  <c r="N61" i="3" s="1"/>
  <c r="I60" i="3"/>
  <c r="M60" i="3"/>
  <c r="N60" i="3" s="1"/>
  <c r="I59" i="3"/>
  <c r="M59" i="3"/>
  <c r="N59" i="3" s="1"/>
  <c r="I58" i="3"/>
  <c r="M58" i="3"/>
  <c r="N58" i="3" s="1"/>
  <c r="I57" i="3"/>
  <c r="M57" i="3"/>
  <c r="N57" i="3" s="1"/>
  <c r="I56" i="3"/>
  <c r="M56" i="3"/>
  <c r="N56" i="3" s="1"/>
  <c r="I55" i="3"/>
  <c r="M55" i="3"/>
  <c r="N55" i="3" s="1"/>
  <c r="I53" i="3"/>
  <c r="M53" i="3"/>
  <c r="N53" i="3" s="1"/>
  <c r="I52" i="3"/>
  <c r="M52" i="3"/>
  <c r="N52" i="3" s="1"/>
  <c r="I51" i="3"/>
  <c r="M51" i="3"/>
  <c r="N51" i="3" s="1"/>
  <c r="I49" i="3"/>
  <c r="M49" i="3"/>
  <c r="N49" i="3" s="1"/>
  <c r="M48" i="3"/>
  <c r="N48" i="3" s="1"/>
  <c r="I48" i="3"/>
  <c r="I46" i="3"/>
  <c r="M46" i="3"/>
  <c r="N46" i="3" s="1"/>
  <c r="I45" i="3"/>
  <c r="M45" i="3"/>
  <c r="N45" i="3" s="1"/>
  <c r="I44" i="3"/>
  <c r="M44" i="3"/>
  <c r="N44" i="3" s="1"/>
  <c r="I43" i="3"/>
  <c r="M43" i="3"/>
  <c r="N43" i="3" s="1"/>
  <c r="I42" i="3"/>
  <c r="M42" i="3"/>
  <c r="N42" i="3" s="1"/>
  <c r="I41" i="3"/>
  <c r="M41" i="3"/>
  <c r="N41" i="3" s="1"/>
  <c r="M40" i="3"/>
  <c r="N40" i="3" s="1"/>
  <c r="I40" i="3"/>
  <c r="I39" i="3"/>
  <c r="M39" i="3"/>
  <c r="N39" i="3" s="1"/>
  <c r="I38" i="3"/>
  <c r="M38" i="3"/>
  <c r="N38" i="3" s="1"/>
  <c r="M37" i="3"/>
  <c r="N37" i="3" s="1"/>
  <c r="I37" i="3"/>
  <c r="M36" i="3"/>
  <c r="N36" i="3" s="1"/>
  <c r="I36" i="3"/>
  <c r="I34" i="3"/>
  <c r="M34" i="3"/>
  <c r="N34" i="3" s="1"/>
  <c r="M33" i="3"/>
  <c r="N33" i="3" s="1"/>
  <c r="I33" i="3"/>
  <c r="I32" i="3"/>
  <c r="M32" i="3"/>
  <c r="N32" i="3" s="1"/>
  <c r="M31" i="3"/>
  <c r="N31" i="3" s="1"/>
  <c r="I31" i="3"/>
  <c r="I30" i="3"/>
  <c r="M30" i="3"/>
  <c r="N30" i="3" s="1"/>
  <c r="M29" i="3"/>
  <c r="N29" i="3" s="1"/>
  <c r="I29" i="3"/>
  <c r="M27" i="3"/>
  <c r="N27" i="3" s="1"/>
  <c r="I24" i="3"/>
  <c r="M24" i="3"/>
  <c r="N24" i="3" s="1"/>
  <c r="M23" i="3"/>
  <c r="N23" i="3" s="1"/>
  <c r="I23" i="3"/>
  <c r="I21" i="3"/>
  <c r="M21" i="3"/>
  <c r="N21" i="3" s="1"/>
  <c r="I20" i="3"/>
  <c r="M20" i="3"/>
  <c r="N20" i="3" s="1"/>
  <c r="I15" i="3"/>
  <c r="M15" i="3"/>
  <c r="N15" i="3" s="1"/>
  <c r="I14" i="3"/>
  <c r="M14" i="3"/>
  <c r="N14" i="3" s="1"/>
  <c r="I13" i="3"/>
  <c r="M13" i="3"/>
  <c r="N13" i="3" s="1"/>
  <c r="I12" i="3"/>
  <c r="M12" i="3"/>
  <c r="N12" i="3" s="1"/>
  <c r="M11" i="3"/>
  <c r="N11" i="3" s="1"/>
  <c r="I11" i="3"/>
  <c r="I10" i="3"/>
  <c r="M10" i="3"/>
  <c r="N10" i="3" s="1"/>
  <c r="M9" i="3"/>
  <c r="N9" i="3" s="1"/>
  <c r="I9" i="3"/>
  <c r="I8" i="3"/>
  <c r="M8" i="3"/>
  <c r="N8" i="3" s="1"/>
  <c r="I7" i="3"/>
  <c r="M7" i="3"/>
  <c r="N7" i="3" s="1"/>
  <c r="I6" i="3"/>
  <c r="M6" i="3"/>
  <c r="N6" i="3" s="1"/>
  <c r="I5" i="3"/>
  <c r="M5" i="3"/>
  <c r="N5" i="3" s="1"/>
  <c r="I4" i="3"/>
  <c r="M4" i="3"/>
  <c r="N4" i="3" s="1"/>
  <c r="M35" i="3" l="1"/>
  <c r="N35" i="3" s="1"/>
  <c r="I35" i="3"/>
  <c r="M28" i="3"/>
  <c r="N28" i="3" s="1"/>
  <c r="I28" i="3"/>
  <c r="M25" i="3"/>
  <c r="N25" i="3" s="1"/>
  <c r="I25" i="3"/>
  <c r="I19" i="3"/>
  <c r="M19" i="3"/>
  <c r="N19" i="3" s="1"/>
  <c r="I16" i="3"/>
  <c r="M16" i="3"/>
  <c r="N16" i="3" s="1"/>
  <c r="N5" i="4"/>
  <c r="N38" i="9"/>
  <c r="G14" i="11"/>
  <c r="I14" i="11"/>
  <c r="I66" i="3"/>
  <c r="M66" i="3"/>
  <c r="N66" i="3" s="1"/>
  <c r="I134" i="3"/>
  <c r="J14" i="5" s="1"/>
  <c r="M134" i="3"/>
  <c r="I14" i="5"/>
  <c r="I133" i="3"/>
  <c r="J13" i="5" s="1"/>
  <c r="M133" i="3"/>
  <c r="I13" i="5"/>
  <c r="I132" i="3"/>
  <c r="J12" i="5" s="1"/>
  <c r="M132" i="3"/>
  <c r="I12" i="5"/>
  <c r="I131" i="3"/>
  <c r="J11" i="5" s="1"/>
  <c r="M131" i="3"/>
  <c r="I11" i="5"/>
  <c r="I18" i="3"/>
  <c r="M18" i="3"/>
  <c r="N18" i="3" s="1"/>
  <c r="H9" i="14"/>
  <c r="M84" i="3"/>
  <c r="N84" i="3" s="1"/>
  <c r="I84" i="3"/>
  <c r="I54" i="3"/>
  <c r="M54" i="3"/>
  <c r="N54" i="3" s="1"/>
  <c r="M47" i="3"/>
  <c r="N47" i="3" s="1"/>
  <c r="I47" i="3"/>
  <c r="I26" i="3"/>
  <c r="M26" i="3"/>
  <c r="N26" i="3" s="1"/>
  <c r="M22" i="3"/>
  <c r="N22" i="3" s="1"/>
  <c r="I22" i="3"/>
  <c r="G27" i="12"/>
  <c r="G28" i="12"/>
  <c r="G25" i="12"/>
  <c r="G26" i="12"/>
  <c r="G24" i="12"/>
  <c r="G20" i="12"/>
  <c r="G21" i="12"/>
  <c r="G22" i="12"/>
  <c r="G23" i="12"/>
  <c r="G16" i="12"/>
  <c r="G17" i="12"/>
  <c r="G18" i="12"/>
  <c r="G19" i="12"/>
  <c r="I23" i="12"/>
  <c r="I21" i="12"/>
  <c r="I20" i="12"/>
  <c r="I22" i="12"/>
  <c r="I27" i="12"/>
  <c r="I25" i="12"/>
  <c r="I26" i="12"/>
  <c r="I24" i="12"/>
  <c r="H54" i="5"/>
  <c r="F54" i="5"/>
  <c r="I54" i="5" s="1"/>
  <c r="I50" i="3"/>
  <c r="M50" i="3"/>
  <c r="N50" i="3" s="1"/>
  <c r="I130" i="3"/>
  <c r="J10" i="5" s="1"/>
  <c r="M130" i="3"/>
  <c r="I10" i="5"/>
  <c r="M129" i="3"/>
  <c r="I9" i="5"/>
  <c r="I129" i="3"/>
  <c r="J9" i="5" s="1"/>
  <c r="I8" i="5"/>
  <c r="M128" i="3"/>
  <c r="I128" i="3"/>
  <c r="J8" i="5" s="1"/>
  <c r="I7" i="5"/>
  <c r="M127" i="3"/>
  <c r="I127" i="3"/>
  <c r="J7" i="5" s="1"/>
  <c r="I126" i="3"/>
  <c r="J6" i="5" s="1"/>
  <c r="M126" i="3"/>
  <c r="I6" i="5"/>
  <c r="I125" i="3"/>
  <c r="J5" i="5" s="1"/>
  <c r="M125" i="3"/>
  <c r="I5" i="5"/>
  <c r="I124" i="3"/>
  <c r="J4" i="5" s="1"/>
  <c r="M124" i="3"/>
  <c r="I4" i="5"/>
  <c r="B14" i="11"/>
  <c r="E14" i="11" s="1"/>
  <c r="C5" i="6"/>
  <c r="C16" i="7" s="1"/>
  <c r="I16" i="11"/>
  <c r="G16" i="11"/>
  <c r="I68" i="3"/>
  <c r="M68" i="3"/>
  <c r="N68" i="3" s="1"/>
  <c r="I28" i="12"/>
  <c r="E23" i="14"/>
  <c r="B21" i="14"/>
  <c r="B15" i="14"/>
  <c r="I16" i="12"/>
  <c r="I17" i="12"/>
  <c r="I18" i="12"/>
  <c r="I19" i="12"/>
  <c r="E22" i="14"/>
  <c r="H8" i="14"/>
  <c r="E21" i="14"/>
  <c r="N7" i="4"/>
  <c r="N40" i="9"/>
  <c r="N37" i="9"/>
  <c r="N4" i="4"/>
  <c r="M138" i="3"/>
  <c r="I138" i="3"/>
  <c r="J18" i="5" s="1"/>
  <c r="I18" i="5"/>
  <c r="M137" i="3"/>
  <c r="I137" i="3"/>
  <c r="J17" i="5" s="1"/>
  <c r="I17" i="5"/>
  <c r="I16" i="5"/>
  <c r="I136" i="3"/>
  <c r="J16" i="5" s="1"/>
  <c r="M136" i="3"/>
  <c r="H7" i="14"/>
  <c r="E20" i="14"/>
  <c r="C6" i="6"/>
  <c r="C17" i="7" s="1"/>
  <c r="B15" i="11"/>
  <c r="E15" i="11" s="1"/>
  <c r="J15" i="11" s="1"/>
  <c r="H11" i="14"/>
  <c r="B23" i="14"/>
  <c r="B22" i="14"/>
  <c r="H29" i="15"/>
  <c r="I24" i="15"/>
  <c r="C26" i="15"/>
  <c r="B31" i="17"/>
  <c r="C31" i="17" s="1"/>
  <c r="C25" i="15"/>
  <c r="B30" i="17"/>
  <c r="C30" i="17" s="1"/>
  <c r="I25" i="15"/>
  <c r="G29" i="15"/>
  <c r="I135" i="3"/>
  <c r="J15" i="5" s="1"/>
  <c r="M135" i="3"/>
  <c r="I15" i="5"/>
  <c r="E24" i="14"/>
  <c r="H10" i="14"/>
  <c r="C7" i="6"/>
  <c r="C18" i="7" s="1"/>
  <c r="B16" i="11"/>
  <c r="E16" i="11" s="1"/>
  <c r="B24" i="14"/>
  <c r="I17" i="3"/>
  <c r="M17" i="3"/>
  <c r="N17" i="3" s="1"/>
  <c r="D31" i="13"/>
  <c r="E20" i="13"/>
  <c r="D21" i="13"/>
  <c r="D24" i="13" s="1"/>
  <c r="D26" i="13" s="1"/>
  <c r="C27" i="13"/>
  <c r="C28" i="13" s="1"/>
  <c r="C33" i="13" s="1"/>
  <c r="C34" i="13" s="1"/>
  <c r="D30" i="11"/>
  <c r="I35" i="17"/>
  <c r="N33" i="10"/>
  <c r="O14" i="11"/>
  <c r="F63" i="5"/>
  <c r="H63" i="5"/>
  <c r="M63" i="4"/>
  <c r="K63" i="5" s="1"/>
  <c r="K63" i="4"/>
  <c r="K62" i="4"/>
  <c r="M62" i="4"/>
  <c r="K62" i="5" s="1"/>
  <c r="F62" i="5"/>
  <c r="H62" i="5"/>
  <c r="K61" i="4"/>
  <c r="M61" i="4"/>
  <c r="K61" i="5" s="1"/>
  <c r="F61" i="5"/>
  <c r="H61" i="5"/>
  <c r="K60" i="4"/>
  <c r="M60" i="4"/>
  <c r="K60" i="5" s="1"/>
  <c r="F60" i="5"/>
  <c r="H60" i="5"/>
  <c r="K59" i="4"/>
  <c r="M59" i="4"/>
  <c r="K59" i="5" s="1"/>
  <c r="B16" i="6"/>
  <c r="B27" i="7" s="1"/>
  <c r="F59" i="5"/>
  <c r="H59" i="5"/>
  <c r="K58" i="4"/>
  <c r="M58" i="4"/>
  <c r="K58" i="5" s="1"/>
  <c r="F58" i="5"/>
  <c r="H58" i="5"/>
  <c r="K57" i="4"/>
  <c r="M57" i="4"/>
  <c r="K57" i="5" s="1"/>
  <c r="F57" i="5"/>
  <c r="H57" i="5"/>
  <c r="K56" i="4"/>
  <c r="M56" i="4"/>
  <c r="K56" i="5" s="1"/>
  <c r="F56" i="5"/>
  <c r="H56" i="5"/>
  <c r="K55" i="4"/>
  <c r="M55" i="4"/>
  <c r="K55" i="5" s="1"/>
  <c r="F55" i="5"/>
  <c r="H55" i="5"/>
  <c r="K54" i="4"/>
  <c r="M54" i="4"/>
  <c r="K54" i="5" s="1"/>
  <c r="B15" i="6"/>
  <c r="B26" i="7" s="1"/>
  <c r="K53" i="4"/>
  <c r="M53" i="4"/>
  <c r="K53" i="5" s="1"/>
  <c r="F53" i="5"/>
  <c r="H53" i="5"/>
  <c r="I11" i="14"/>
  <c r="C11" i="14"/>
  <c r="F24" i="14"/>
  <c r="F52" i="5"/>
  <c r="H52" i="5"/>
  <c r="C10" i="14"/>
  <c r="F23" i="14"/>
  <c r="I10" i="14"/>
  <c r="K52" i="4"/>
  <c r="M52" i="4"/>
  <c r="K52" i="5" s="1"/>
  <c r="K51" i="4"/>
  <c r="M51" i="4"/>
  <c r="K51" i="5" s="1"/>
  <c r="F51" i="5"/>
  <c r="H51" i="5"/>
  <c r="C9" i="14"/>
  <c r="I9" i="14"/>
  <c r="F22" i="14"/>
  <c r="K50" i="4"/>
  <c r="M50" i="4"/>
  <c r="K50" i="5" s="1"/>
  <c r="F50" i="5"/>
  <c r="H50" i="5"/>
  <c r="C8" i="14"/>
  <c r="F21" i="14"/>
  <c r="I8" i="14"/>
  <c r="K49" i="4"/>
  <c r="M49" i="4"/>
  <c r="K49" i="5" s="1"/>
  <c r="B14" i="6"/>
  <c r="B25" i="7" s="1"/>
  <c r="F49" i="5"/>
  <c r="H49" i="5"/>
  <c r="I7" i="14"/>
  <c r="C7" i="14"/>
  <c r="F20" i="14"/>
  <c r="C14" i="14"/>
  <c r="K48" i="4"/>
  <c r="M48" i="4"/>
  <c r="K47" i="4"/>
  <c r="M47" i="4"/>
  <c r="K46" i="4"/>
  <c r="M46" i="4"/>
  <c r="K45" i="4"/>
  <c r="M45" i="4"/>
  <c r="K44" i="4"/>
  <c r="M44" i="4"/>
  <c r="B13" i="6"/>
  <c r="B24" i="7" s="1"/>
  <c r="K43" i="4"/>
  <c r="M43" i="4"/>
  <c r="K42" i="4"/>
  <c r="M42" i="4"/>
  <c r="K41" i="4"/>
  <c r="M41" i="4"/>
  <c r="K40" i="4"/>
  <c r="M40" i="4"/>
  <c r="K39" i="4"/>
  <c r="M39" i="4"/>
  <c r="B12" i="6"/>
  <c r="B23" i="7" s="1"/>
  <c r="K38" i="4"/>
  <c r="M38" i="4"/>
  <c r="K37" i="4"/>
  <c r="M37" i="4"/>
  <c r="K36" i="4"/>
  <c r="M36" i="4"/>
  <c r="K35" i="4"/>
  <c r="M35" i="4"/>
  <c r="K34" i="4"/>
  <c r="M34" i="4"/>
  <c r="B11" i="6"/>
  <c r="B22" i="7" s="1"/>
  <c r="K33" i="4"/>
  <c r="M33" i="4"/>
  <c r="K32" i="4"/>
  <c r="M32" i="4"/>
  <c r="K31" i="4"/>
  <c r="M31" i="4"/>
  <c r="K30" i="4"/>
  <c r="M30" i="4"/>
  <c r="K29" i="4"/>
  <c r="M29" i="4"/>
  <c r="B10" i="6"/>
  <c r="B21" i="7" s="1"/>
  <c r="K28" i="4"/>
  <c r="M28" i="4"/>
  <c r="K27" i="4"/>
  <c r="M27" i="4"/>
  <c r="K26" i="4"/>
  <c r="M26" i="4"/>
  <c r="K25" i="4"/>
  <c r="M25" i="4"/>
  <c r="K24" i="4"/>
  <c r="M24" i="4"/>
  <c r="B9" i="6"/>
  <c r="B20" i="7" s="1"/>
  <c r="K23" i="4"/>
  <c r="M23" i="4"/>
  <c r="K22" i="4"/>
  <c r="M22" i="4"/>
  <c r="K21" i="4"/>
  <c r="M21" i="4"/>
  <c r="K20" i="4"/>
  <c r="M20" i="4"/>
  <c r="K19" i="4"/>
  <c r="M19" i="4"/>
  <c r="B8" i="6"/>
  <c r="B19" i="7" s="1"/>
  <c r="K18" i="4"/>
  <c r="M18" i="4"/>
  <c r="K17" i="4"/>
  <c r="M17" i="4"/>
  <c r="K16" i="4"/>
  <c r="M16" i="4"/>
  <c r="K15" i="4"/>
  <c r="M15" i="4"/>
  <c r="K14" i="4"/>
  <c r="M14" i="4"/>
  <c r="B7" i="6"/>
  <c r="K13" i="4"/>
  <c r="M13" i="4"/>
  <c r="K12" i="4"/>
  <c r="M12" i="4"/>
  <c r="K11" i="4"/>
  <c r="M11" i="4"/>
  <c r="K10" i="4"/>
  <c r="M10" i="4"/>
  <c r="K9" i="4"/>
  <c r="M9" i="4"/>
  <c r="B6" i="6"/>
  <c r="K8" i="4"/>
  <c r="M8" i="4"/>
  <c r="B25" i="6"/>
  <c r="B36" i="7" s="1"/>
  <c r="F11" i="14"/>
  <c r="K7" i="4"/>
  <c r="M7" i="4"/>
  <c r="B24" i="6"/>
  <c r="B35" i="7" s="1"/>
  <c r="F10" i="14"/>
  <c r="K6" i="4"/>
  <c r="M6" i="4"/>
  <c r="B23" i="6"/>
  <c r="B34" i="7" s="1"/>
  <c r="F9" i="14"/>
  <c r="K5" i="4"/>
  <c r="M5" i="4"/>
  <c r="B22" i="6"/>
  <c r="B33" i="7" s="1"/>
  <c r="F8" i="14"/>
  <c r="K4" i="4"/>
  <c r="M4" i="4"/>
  <c r="B20" i="17"/>
  <c r="B5" i="6"/>
  <c r="B21" i="6"/>
  <c r="B32" i="7" s="1"/>
  <c r="A6" i="7"/>
  <c r="F7" i="14"/>
  <c r="B30" i="14"/>
  <c r="B20" i="14"/>
  <c r="B25" i="14"/>
  <c r="B12" i="14"/>
  <c r="F12" i="14" s="1"/>
  <c r="D7" i="14"/>
  <c r="I168" i="3"/>
  <c r="J48" i="5" s="1"/>
  <c r="M168" i="3"/>
  <c r="I48" i="5"/>
  <c r="I167" i="3"/>
  <c r="J47" i="5" s="1"/>
  <c r="M167" i="3"/>
  <c r="I47" i="5"/>
  <c r="I166" i="3"/>
  <c r="J46" i="5" s="1"/>
  <c r="M166" i="3"/>
  <c r="I46" i="5"/>
  <c r="I165" i="3"/>
  <c r="J45" i="5" s="1"/>
  <c r="M165" i="3"/>
  <c r="I45" i="5"/>
  <c r="I164" i="3"/>
  <c r="J44" i="5" s="1"/>
  <c r="M164" i="3"/>
  <c r="I44" i="5"/>
  <c r="C13" i="6"/>
  <c r="B22" i="11"/>
  <c r="E22" i="11" s="1"/>
  <c r="J22" i="11" s="1"/>
  <c r="I163" i="3"/>
  <c r="J43" i="5" s="1"/>
  <c r="M163" i="3"/>
  <c r="I43" i="5"/>
  <c r="I162" i="3"/>
  <c r="J42" i="5" s="1"/>
  <c r="M162" i="3"/>
  <c r="I42" i="5"/>
  <c r="I161" i="3"/>
  <c r="J41" i="5" s="1"/>
  <c r="M161" i="3"/>
  <c r="I41" i="5"/>
  <c r="I160" i="3"/>
  <c r="J40" i="5" s="1"/>
  <c r="M160" i="3"/>
  <c r="I40" i="5"/>
  <c r="C12" i="6"/>
  <c r="B21" i="11"/>
  <c r="E21" i="11" s="1"/>
  <c r="J21" i="11" s="1"/>
  <c r="I159" i="3"/>
  <c r="J39" i="5" s="1"/>
  <c r="M159" i="3"/>
  <c r="I39" i="5"/>
  <c r="I158" i="3"/>
  <c r="J38" i="5" s="1"/>
  <c r="M158" i="3"/>
  <c r="I38" i="5"/>
  <c r="I157" i="3"/>
  <c r="J37" i="5" s="1"/>
  <c r="M157" i="3"/>
  <c r="I37" i="5"/>
  <c r="I156" i="3"/>
  <c r="J36" i="5" s="1"/>
  <c r="M156" i="3"/>
  <c r="I36" i="5"/>
  <c r="I155" i="3"/>
  <c r="J35" i="5" s="1"/>
  <c r="M155" i="3"/>
  <c r="I35" i="5"/>
  <c r="C11" i="6"/>
  <c r="B20" i="11"/>
  <c r="E20" i="11" s="1"/>
  <c r="J20" i="11" s="1"/>
  <c r="I154" i="3"/>
  <c r="J34" i="5" s="1"/>
  <c r="M154" i="3"/>
  <c r="I34" i="5"/>
  <c r="I153" i="3"/>
  <c r="J33" i="5" s="1"/>
  <c r="M153" i="3"/>
  <c r="I33" i="5"/>
  <c r="I152" i="3"/>
  <c r="J32" i="5" s="1"/>
  <c r="M152" i="3"/>
  <c r="I32" i="5"/>
  <c r="I151" i="3"/>
  <c r="J31" i="5" s="1"/>
  <c r="M151" i="3"/>
  <c r="I31" i="5"/>
  <c r="I150" i="3"/>
  <c r="J30" i="5" s="1"/>
  <c r="M150" i="3"/>
  <c r="I30" i="5"/>
  <c r="I149" i="3"/>
  <c r="J29" i="5" s="1"/>
  <c r="M149" i="3"/>
  <c r="I29" i="5"/>
  <c r="C10" i="6"/>
  <c r="B19" i="11"/>
  <c r="E19" i="11" s="1"/>
  <c r="J19" i="11" s="1"/>
  <c r="I148" i="3"/>
  <c r="J28" i="5" s="1"/>
  <c r="M148" i="3"/>
  <c r="I28" i="5"/>
  <c r="I147" i="3"/>
  <c r="J27" i="5" s="1"/>
  <c r="M147" i="3"/>
  <c r="I27" i="5"/>
  <c r="I146" i="3"/>
  <c r="J26" i="5" s="1"/>
  <c r="M146" i="3"/>
  <c r="I26" i="5"/>
  <c r="I145" i="3"/>
  <c r="J25" i="5" s="1"/>
  <c r="M145" i="3"/>
  <c r="I25" i="5"/>
  <c r="C9" i="6"/>
  <c r="B18" i="11"/>
  <c r="E18" i="11" s="1"/>
  <c r="J18" i="11" s="1"/>
  <c r="I144" i="3"/>
  <c r="J24" i="5" s="1"/>
  <c r="M144" i="3"/>
  <c r="I24" i="5"/>
  <c r="I143" i="3"/>
  <c r="J23" i="5" s="1"/>
  <c r="M143" i="3"/>
  <c r="I23" i="5"/>
  <c r="I142" i="3"/>
  <c r="J22" i="5" s="1"/>
  <c r="M142" i="3"/>
  <c r="I22" i="5"/>
  <c r="I141" i="3"/>
  <c r="J21" i="5" s="1"/>
  <c r="M141" i="3"/>
  <c r="I21" i="5"/>
  <c r="I140" i="3"/>
  <c r="J20" i="5" s="1"/>
  <c r="M140" i="3"/>
  <c r="I20" i="5"/>
  <c r="G17" i="11"/>
  <c r="I17" i="11"/>
  <c r="I139" i="3"/>
  <c r="J19" i="5" s="1"/>
  <c r="M139" i="3"/>
  <c r="I19" i="5"/>
  <c r="C8" i="6"/>
  <c r="B17" i="11"/>
  <c r="E17" i="11" s="1"/>
  <c r="D8" i="14"/>
  <c r="D11" i="14"/>
  <c r="D10" i="14"/>
  <c r="D9" i="14"/>
  <c r="N34" i="10"/>
  <c r="J7" i="14" l="1"/>
  <c r="J14" i="11"/>
  <c r="G7" i="6"/>
  <c r="J16" i="11"/>
  <c r="K16" i="11" s="1"/>
  <c r="G12" i="6"/>
  <c r="N134" i="3"/>
  <c r="O14" i="5" s="1"/>
  <c r="N14" i="5"/>
  <c r="N133" i="3"/>
  <c r="O13" i="5" s="1"/>
  <c r="N13" i="5"/>
  <c r="N132" i="3"/>
  <c r="O12" i="5" s="1"/>
  <c r="N12" i="5"/>
  <c r="N131" i="3"/>
  <c r="O11" i="5" s="1"/>
  <c r="N11" i="5"/>
  <c r="N126" i="3"/>
  <c r="O6" i="5" s="1"/>
  <c r="N6" i="5"/>
  <c r="F25" i="14"/>
  <c r="G20" i="14"/>
  <c r="G6" i="6"/>
  <c r="K15" i="11"/>
  <c r="H12" i="14"/>
  <c r="G5" i="6"/>
  <c r="J9" i="14"/>
  <c r="G22" i="14"/>
  <c r="F22" i="12"/>
  <c r="G23" i="14"/>
  <c r="E25" i="14"/>
  <c r="G21" i="14"/>
  <c r="N130" i="3"/>
  <c r="O10" i="5" s="1"/>
  <c r="N10" i="5"/>
  <c r="N129" i="3"/>
  <c r="O9" i="5" s="1"/>
  <c r="N9" i="5"/>
  <c r="N128" i="3"/>
  <c r="O8" i="5" s="1"/>
  <c r="N8" i="5"/>
  <c r="N127" i="3"/>
  <c r="O7" i="5" s="1"/>
  <c r="N7" i="5"/>
  <c r="N125" i="3"/>
  <c r="O5" i="5" s="1"/>
  <c r="N5" i="5"/>
  <c r="N124" i="3"/>
  <c r="O4" i="5" s="1"/>
  <c r="N4" i="5"/>
  <c r="I29" i="15"/>
  <c r="C23" i="14"/>
  <c r="C22" i="14"/>
  <c r="J8" i="14"/>
  <c r="J17" i="11"/>
  <c r="N138" i="3"/>
  <c r="O18" i="5" s="1"/>
  <c r="N18" i="5"/>
  <c r="N137" i="3"/>
  <c r="O17" i="5" s="1"/>
  <c r="N17" i="5"/>
  <c r="N136" i="3"/>
  <c r="O16" i="5" s="1"/>
  <c r="N16" i="5"/>
  <c r="G24" i="14"/>
  <c r="J10" i="14"/>
  <c r="C21" i="14"/>
  <c r="G9" i="6"/>
  <c r="N15" i="5"/>
  <c r="N135" i="3"/>
  <c r="O15" i="5" s="1"/>
  <c r="C15" i="6"/>
  <c r="B24" i="11"/>
  <c r="E24" i="11" s="1"/>
  <c r="D20" i="12"/>
  <c r="D21" i="12"/>
  <c r="E21" i="12" s="1"/>
  <c r="D22" i="12"/>
  <c r="D23" i="12"/>
  <c r="E23" i="12" s="1"/>
  <c r="F23" i="12"/>
  <c r="F21" i="12"/>
  <c r="C24" i="11"/>
  <c r="I60" i="5"/>
  <c r="C15" i="14"/>
  <c r="D12" i="14"/>
  <c r="G13" i="6"/>
  <c r="K20" i="11"/>
  <c r="G11" i="6"/>
  <c r="F20" i="12"/>
  <c r="F16" i="12"/>
  <c r="F17" i="12"/>
  <c r="I12" i="14"/>
  <c r="E31" i="13"/>
  <c r="F20" i="13"/>
  <c r="E21" i="13"/>
  <c r="E24" i="13" s="1"/>
  <c r="E26" i="13" s="1"/>
  <c r="D27" i="13"/>
  <c r="D28" i="13" s="1"/>
  <c r="D33" i="13" s="1"/>
  <c r="D34" i="13" s="1"/>
  <c r="C37" i="13"/>
  <c r="C36" i="13"/>
  <c r="I39" i="17"/>
  <c r="I18" i="18"/>
  <c r="D66" i="7"/>
  <c r="J54" i="5"/>
  <c r="N54" i="5"/>
  <c r="L63" i="4"/>
  <c r="P63" i="4"/>
  <c r="L62" i="4"/>
  <c r="P62" i="4"/>
  <c r="L61" i="4"/>
  <c r="P61" i="4"/>
  <c r="L60" i="4"/>
  <c r="P60" i="4"/>
  <c r="L59" i="4"/>
  <c r="P59" i="4"/>
  <c r="F16" i="6"/>
  <c r="H28" i="12"/>
  <c r="H24" i="12"/>
  <c r="H25" i="12"/>
  <c r="H26" i="12"/>
  <c r="H27" i="12"/>
  <c r="I59" i="5"/>
  <c r="C16" i="6"/>
  <c r="B25" i="11"/>
  <c r="E25" i="11" s="1"/>
  <c r="D24" i="12"/>
  <c r="D25" i="12"/>
  <c r="E25" i="12" s="1"/>
  <c r="D26" i="12"/>
  <c r="E26" i="12" s="1"/>
  <c r="D27" i="12"/>
  <c r="E27" i="12" s="1"/>
  <c r="D28" i="12"/>
  <c r="E28" i="12" s="1"/>
  <c r="F28" i="12"/>
  <c r="C25" i="11"/>
  <c r="F24" i="12"/>
  <c r="F25" i="12"/>
  <c r="F26" i="12"/>
  <c r="F27" i="12"/>
  <c r="L58" i="4"/>
  <c r="P58" i="4"/>
  <c r="L57" i="4"/>
  <c r="P57" i="4"/>
  <c r="L56" i="4"/>
  <c r="P56" i="4"/>
  <c r="L55" i="4"/>
  <c r="P55" i="4"/>
  <c r="L54" i="4"/>
  <c r="P54" i="4"/>
  <c r="I15" i="6" s="1"/>
  <c r="F15" i="6"/>
  <c r="H20" i="12"/>
  <c r="H21" i="12"/>
  <c r="H22" i="12"/>
  <c r="H23" i="12"/>
  <c r="L53" i="4"/>
  <c r="P53" i="4"/>
  <c r="L52" i="4"/>
  <c r="P52" i="4"/>
  <c r="L51" i="4"/>
  <c r="P51" i="4"/>
  <c r="L50" i="4"/>
  <c r="P50" i="4"/>
  <c r="L49" i="4"/>
  <c r="F14" i="6"/>
  <c r="P49" i="4"/>
  <c r="H16" i="12"/>
  <c r="H17" i="12"/>
  <c r="H18" i="12"/>
  <c r="H19" i="12"/>
  <c r="I49" i="5"/>
  <c r="C14" i="6"/>
  <c r="B23" i="11"/>
  <c r="E23" i="11" s="1"/>
  <c r="D16" i="12"/>
  <c r="E16" i="12" s="1"/>
  <c r="D17" i="12"/>
  <c r="E17" i="12" s="1"/>
  <c r="D18" i="12"/>
  <c r="E18" i="12" s="1"/>
  <c r="D19" i="12"/>
  <c r="C25" i="14"/>
  <c r="C20" i="14"/>
  <c r="C23" i="11"/>
  <c r="F18" i="12"/>
  <c r="F19" i="12"/>
  <c r="E7" i="14"/>
  <c r="C12" i="14"/>
  <c r="G12" i="14" s="1"/>
  <c r="L48" i="4"/>
  <c r="P48" i="4"/>
  <c r="L47" i="4"/>
  <c r="P47" i="4"/>
  <c r="L46" i="4"/>
  <c r="P46" i="4"/>
  <c r="L45" i="4"/>
  <c r="P45" i="4"/>
  <c r="L44" i="4"/>
  <c r="P44" i="4"/>
  <c r="F13" i="6"/>
  <c r="L43" i="4"/>
  <c r="P43" i="4"/>
  <c r="L42" i="4"/>
  <c r="P42" i="4"/>
  <c r="L41" i="4"/>
  <c r="P41" i="4"/>
  <c r="L40" i="4"/>
  <c r="P40" i="4"/>
  <c r="L39" i="4"/>
  <c r="P39" i="4"/>
  <c r="F12" i="6"/>
  <c r="L38" i="4"/>
  <c r="P38" i="4"/>
  <c r="L37" i="4"/>
  <c r="P37" i="4"/>
  <c r="L36" i="4"/>
  <c r="P36" i="4"/>
  <c r="L35" i="4"/>
  <c r="P35" i="4"/>
  <c r="L34" i="4"/>
  <c r="P34" i="4"/>
  <c r="I11" i="6" s="1"/>
  <c r="F11" i="6"/>
  <c r="L33" i="4"/>
  <c r="P33" i="4"/>
  <c r="L32" i="4"/>
  <c r="P32" i="4"/>
  <c r="L31" i="4"/>
  <c r="P31" i="4"/>
  <c r="L30" i="4"/>
  <c r="P30" i="4"/>
  <c r="L29" i="4"/>
  <c r="P29" i="4"/>
  <c r="F10" i="6"/>
  <c r="L28" i="4"/>
  <c r="P28" i="4"/>
  <c r="L27" i="4"/>
  <c r="P27" i="4"/>
  <c r="L26" i="4"/>
  <c r="P26" i="4"/>
  <c r="L25" i="4"/>
  <c r="P25" i="4"/>
  <c r="L24" i="4"/>
  <c r="P24" i="4"/>
  <c r="F9" i="6"/>
  <c r="L23" i="4"/>
  <c r="P23" i="4"/>
  <c r="L22" i="4"/>
  <c r="P22" i="4"/>
  <c r="L21" i="4"/>
  <c r="P21" i="4"/>
  <c r="L20" i="4"/>
  <c r="P20" i="4"/>
  <c r="L19" i="4"/>
  <c r="P19" i="4"/>
  <c r="F8" i="6"/>
  <c r="L18" i="4"/>
  <c r="P18" i="4"/>
  <c r="L17" i="4"/>
  <c r="P17" i="4"/>
  <c r="L16" i="4"/>
  <c r="P16" i="4"/>
  <c r="L15" i="4"/>
  <c r="P15" i="4"/>
  <c r="L14" i="4"/>
  <c r="P14" i="4"/>
  <c r="I7" i="6" s="1"/>
  <c r="F7" i="6"/>
  <c r="D7" i="6"/>
  <c r="E7" i="6" s="1"/>
  <c r="B18" i="7"/>
  <c r="L13" i="4"/>
  <c r="P13" i="4"/>
  <c r="L12" i="4"/>
  <c r="P12" i="4"/>
  <c r="L11" i="4"/>
  <c r="P11" i="4"/>
  <c r="L10" i="4"/>
  <c r="P10" i="4"/>
  <c r="L9" i="4"/>
  <c r="P9" i="4"/>
  <c r="I6" i="6" s="1"/>
  <c r="F6" i="6"/>
  <c r="D6" i="6"/>
  <c r="E6" i="6" s="1"/>
  <c r="B17" i="7"/>
  <c r="L8" i="4"/>
  <c r="P8" i="4"/>
  <c r="K24" i="14"/>
  <c r="M24" i="14" s="1"/>
  <c r="L7" i="4"/>
  <c r="P7" i="4"/>
  <c r="K23" i="14"/>
  <c r="M23" i="14" s="1"/>
  <c r="L6" i="4"/>
  <c r="P6" i="4"/>
  <c r="K22" i="14"/>
  <c r="M22" i="14" s="1"/>
  <c r="L5" i="4"/>
  <c r="P5" i="4"/>
  <c r="K21" i="14"/>
  <c r="M21" i="14" s="1"/>
  <c r="L4" i="4"/>
  <c r="P4" i="4"/>
  <c r="F5" i="6"/>
  <c r="K20" i="14"/>
  <c r="B21" i="17"/>
  <c r="D5" i="6"/>
  <c r="E5" i="6" s="1"/>
  <c r="B16" i="7"/>
  <c r="N168" i="3"/>
  <c r="O48" i="5" s="1"/>
  <c r="N48" i="5"/>
  <c r="N167" i="3"/>
  <c r="O47" i="5" s="1"/>
  <c r="N47" i="5"/>
  <c r="N166" i="3"/>
  <c r="O46" i="5" s="1"/>
  <c r="N46" i="5"/>
  <c r="N165" i="3"/>
  <c r="O45" i="5" s="1"/>
  <c r="N45" i="5"/>
  <c r="N164" i="3"/>
  <c r="O44" i="5" s="1"/>
  <c r="N44" i="5"/>
  <c r="D13" i="6"/>
  <c r="E13" i="6" s="1"/>
  <c r="C24" i="7"/>
  <c r="K22" i="11"/>
  <c r="B31" i="11"/>
  <c r="N163" i="3"/>
  <c r="O43" i="5" s="1"/>
  <c r="N43" i="5"/>
  <c r="N162" i="3"/>
  <c r="O42" i="5" s="1"/>
  <c r="N42" i="5"/>
  <c r="N161" i="3"/>
  <c r="O41" i="5" s="1"/>
  <c r="N41" i="5"/>
  <c r="N160" i="3"/>
  <c r="O40" i="5" s="1"/>
  <c r="N40" i="5"/>
  <c r="D12" i="6"/>
  <c r="E12" i="6" s="1"/>
  <c r="C23" i="7"/>
  <c r="N159" i="3"/>
  <c r="O39" i="5" s="1"/>
  <c r="N39" i="5"/>
  <c r="N158" i="3"/>
  <c r="O38" i="5" s="1"/>
  <c r="N38" i="5"/>
  <c r="N157" i="3"/>
  <c r="O37" i="5" s="1"/>
  <c r="N37" i="5"/>
  <c r="N156" i="3"/>
  <c r="O36" i="5" s="1"/>
  <c r="N36" i="5"/>
  <c r="N155" i="3"/>
  <c r="O35" i="5" s="1"/>
  <c r="N35" i="5"/>
  <c r="D11" i="6"/>
  <c r="E11" i="6" s="1"/>
  <c r="C22" i="7"/>
  <c r="N154" i="3"/>
  <c r="O34" i="5" s="1"/>
  <c r="N34" i="5"/>
  <c r="N153" i="3"/>
  <c r="O33" i="5" s="1"/>
  <c r="N33" i="5"/>
  <c r="N152" i="3"/>
  <c r="O32" i="5" s="1"/>
  <c r="N32" i="5"/>
  <c r="N151" i="3"/>
  <c r="O31" i="5" s="1"/>
  <c r="N31" i="5"/>
  <c r="N150" i="3"/>
  <c r="O30" i="5" s="1"/>
  <c r="N30" i="5"/>
  <c r="N149" i="3"/>
  <c r="O29" i="5" s="1"/>
  <c r="N29" i="5"/>
  <c r="D10" i="6"/>
  <c r="E10" i="6" s="1"/>
  <c r="C21" i="7"/>
  <c r="N148" i="3"/>
  <c r="O28" i="5" s="1"/>
  <c r="N28" i="5"/>
  <c r="N147" i="3"/>
  <c r="O27" i="5" s="1"/>
  <c r="N27" i="5"/>
  <c r="N146" i="3"/>
  <c r="O26" i="5" s="1"/>
  <c r="N26" i="5"/>
  <c r="N145" i="3"/>
  <c r="O25" i="5" s="1"/>
  <c r="N25" i="5"/>
  <c r="D9" i="6"/>
  <c r="E9" i="6" s="1"/>
  <c r="C20" i="7"/>
  <c r="N144" i="3"/>
  <c r="O24" i="5" s="1"/>
  <c r="N24" i="5"/>
  <c r="N143" i="3"/>
  <c r="O23" i="5" s="1"/>
  <c r="N23" i="5"/>
  <c r="N142" i="3"/>
  <c r="O22" i="5" s="1"/>
  <c r="N22" i="5"/>
  <c r="N141" i="3"/>
  <c r="O21" i="5" s="1"/>
  <c r="N21" i="5"/>
  <c r="N140" i="3"/>
  <c r="O20" i="5" s="1"/>
  <c r="N20" i="5"/>
  <c r="N139" i="3"/>
  <c r="O19" i="5" s="1"/>
  <c r="N19" i="5"/>
  <c r="D8" i="6"/>
  <c r="E8" i="6" s="1"/>
  <c r="C19" i="7"/>
  <c r="I58" i="5"/>
  <c r="I57" i="5"/>
  <c r="I56" i="5"/>
  <c r="I55" i="5"/>
  <c r="G15" i="6" s="1"/>
  <c r="I53" i="5"/>
  <c r="C24" i="14"/>
  <c r="E11" i="14"/>
  <c r="I52" i="5"/>
  <c r="E10" i="14"/>
  <c r="I51" i="5"/>
  <c r="K19" i="11"/>
  <c r="E8" i="14"/>
  <c r="K21" i="11"/>
  <c r="G8" i="6"/>
  <c r="I63" i="5"/>
  <c r="I62" i="5"/>
  <c r="I61" i="5"/>
  <c r="E9" i="14"/>
  <c r="J11" i="14"/>
  <c r="C25" i="6"/>
  <c r="L11" i="14"/>
  <c r="G11" i="14"/>
  <c r="H24" i="14"/>
  <c r="C24" i="6"/>
  <c r="L10" i="14"/>
  <c r="G10" i="14"/>
  <c r="H23" i="14"/>
  <c r="C23" i="6"/>
  <c r="H22" i="14"/>
  <c r="G9" i="14"/>
  <c r="L9" i="14"/>
  <c r="I50" i="5"/>
  <c r="C22" i="6"/>
  <c r="L8" i="14"/>
  <c r="G8" i="14"/>
  <c r="H21" i="14"/>
  <c r="H20" i="14"/>
  <c r="L7" i="14"/>
  <c r="C21" i="6"/>
  <c r="D6" i="7"/>
  <c r="G7" i="14"/>
  <c r="C20" i="17"/>
  <c r="D20" i="17" s="1"/>
  <c r="E20" i="17" s="1"/>
  <c r="B34" i="14"/>
  <c r="G10" i="6"/>
  <c r="L24" i="14"/>
  <c r="N24" i="14" s="1"/>
  <c r="I24" i="14"/>
  <c r="I23" i="14"/>
  <c r="L23" i="14"/>
  <c r="N23" i="14" s="1"/>
  <c r="L22" i="14"/>
  <c r="N22" i="14" s="1"/>
  <c r="I22" i="14"/>
  <c r="K7" i="14" l="1"/>
  <c r="N7" i="14"/>
  <c r="H7" i="6"/>
  <c r="H12" i="6"/>
  <c r="I13" i="6"/>
  <c r="I9" i="6"/>
  <c r="H6" i="6"/>
  <c r="E30" i="14"/>
  <c r="B31" i="14"/>
  <c r="A89" i="7"/>
  <c r="I20" i="17"/>
  <c r="K9" i="14"/>
  <c r="N9" i="14"/>
  <c r="H5" i="6"/>
  <c r="G25" i="14"/>
  <c r="H15" i="6"/>
  <c r="J6" i="6"/>
  <c r="L15" i="11"/>
  <c r="J5" i="6"/>
  <c r="L14" i="11"/>
  <c r="M14" i="11" s="1"/>
  <c r="N14" i="11" s="1"/>
  <c r="P14" i="11" s="1"/>
  <c r="L20" i="14"/>
  <c r="N20" i="14" s="1"/>
  <c r="I20" i="14"/>
  <c r="J20" i="14" s="1"/>
  <c r="E22" i="12"/>
  <c r="L22" i="12" s="1"/>
  <c r="I14" i="6"/>
  <c r="I12" i="6"/>
  <c r="I8" i="6"/>
  <c r="K10" i="14"/>
  <c r="N10" i="14"/>
  <c r="E12" i="14"/>
  <c r="N8" i="14"/>
  <c r="K8" i="14"/>
  <c r="K18" i="11"/>
  <c r="K17" i="11"/>
  <c r="J6" i="7"/>
  <c r="I16" i="18" s="1"/>
  <c r="C21" i="17"/>
  <c r="D21" i="17" s="1"/>
  <c r="E21" i="17" s="1"/>
  <c r="E24" i="12"/>
  <c r="L24" i="12" s="1"/>
  <c r="L21" i="12"/>
  <c r="L23" i="12"/>
  <c r="H13" i="6"/>
  <c r="H11" i="6"/>
  <c r="H9" i="6"/>
  <c r="E23" i="6"/>
  <c r="E22" i="6"/>
  <c r="J7" i="6"/>
  <c r="L16" i="11"/>
  <c r="M16" i="11" s="1"/>
  <c r="N16" i="11" s="1"/>
  <c r="P16" i="11" s="1"/>
  <c r="D15" i="6"/>
  <c r="E15" i="6" s="1"/>
  <c r="C26" i="7"/>
  <c r="G24" i="11"/>
  <c r="I24" i="11"/>
  <c r="I21" i="14"/>
  <c r="L21" i="14"/>
  <c r="E31" i="14"/>
  <c r="I21" i="17"/>
  <c r="B32" i="14"/>
  <c r="D89" i="7"/>
  <c r="L16" i="12"/>
  <c r="N16" i="12" s="1"/>
  <c r="L17" i="12"/>
  <c r="I10" i="6"/>
  <c r="H10" i="6"/>
  <c r="L12" i="14"/>
  <c r="J60" i="5"/>
  <c r="N60" i="5"/>
  <c r="O60" i="5" s="1"/>
  <c r="G20" i="13"/>
  <c r="F21" i="13"/>
  <c r="F24" i="13" s="1"/>
  <c r="F26" i="13" s="1"/>
  <c r="F31" i="13"/>
  <c r="E27" i="13"/>
  <c r="E28" i="13" s="1"/>
  <c r="E33" i="13" s="1"/>
  <c r="E34" i="13" s="1"/>
  <c r="D37" i="13"/>
  <c r="O54" i="5"/>
  <c r="J59" i="5"/>
  <c r="N59" i="5"/>
  <c r="G16" i="6"/>
  <c r="H16" i="6" s="1"/>
  <c r="D16" i="6"/>
  <c r="E16" i="6" s="1"/>
  <c r="C27" i="7"/>
  <c r="G25" i="11"/>
  <c r="I25" i="11"/>
  <c r="L15" i="6"/>
  <c r="B51" i="7"/>
  <c r="J49" i="5"/>
  <c r="N49" i="5"/>
  <c r="G14" i="6"/>
  <c r="H14" i="6" s="1"/>
  <c r="D14" i="6"/>
  <c r="E14" i="6" s="1"/>
  <c r="C25" i="7"/>
  <c r="E20" i="12"/>
  <c r="L20" i="12" s="1"/>
  <c r="E19" i="12"/>
  <c r="L19" i="12" s="1"/>
  <c r="G23" i="11"/>
  <c r="I23" i="11"/>
  <c r="L11" i="6"/>
  <c r="B47" i="7"/>
  <c r="L7" i="6"/>
  <c r="B43" i="7"/>
  <c r="L6" i="6"/>
  <c r="B42" i="7"/>
  <c r="I5" i="6"/>
  <c r="E21" i="6"/>
  <c r="A10" i="7"/>
  <c r="B23" i="15"/>
  <c r="B22" i="17"/>
  <c r="B23" i="17" s="1"/>
  <c r="K25" i="14"/>
  <c r="M25" i="14" s="1"/>
  <c r="M20" i="14"/>
  <c r="J13" i="6"/>
  <c r="L22" i="11"/>
  <c r="J12" i="6"/>
  <c r="L21" i="11"/>
  <c r="J11" i="6"/>
  <c r="L20" i="11"/>
  <c r="J10" i="6"/>
  <c r="L19" i="11"/>
  <c r="J9" i="6"/>
  <c r="L18" i="11"/>
  <c r="J8" i="6"/>
  <c r="L17" i="11"/>
  <c r="N58" i="5"/>
  <c r="O58" i="5" s="1"/>
  <c r="J58" i="5"/>
  <c r="N57" i="5"/>
  <c r="O57" i="5" s="1"/>
  <c r="J57" i="5"/>
  <c r="N56" i="5"/>
  <c r="O56" i="5" s="1"/>
  <c r="J56" i="5"/>
  <c r="N55" i="5"/>
  <c r="J55" i="5"/>
  <c r="N53" i="5"/>
  <c r="J53" i="5"/>
  <c r="N52" i="5"/>
  <c r="J52" i="5"/>
  <c r="N51" i="5"/>
  <c r="J51" i="5"/>
  <c r="N63" i="5"/>
  <c r="O63" i="5" s="1"/>
  <c r="J63" i="5"/>
  <c r="N62" i="5"/>
  <c r="O62" i="5" s="1"/>
  <c r="J62" i="5"/>
  <c r="N61" i="5"/>
  <c r="O61" i="5" s="1"/>
  <c r="J61" i="5"/>
  <c r="N11" i="14"/>
  <c r="J12" i="14"/>
  <c r="K11" i="14"/>
  <c r="C36" i="7"/>
  <c r="D25" i="6"/>
  <c r="C35" i="7"/>
  <c r="D24" i="6"/>
  <c r="C34" i="7"/>
  <c r="D23" i="6"/>
  <c r="N50" i="5"/>
  <c r="J50" i="5"/>
  <c r="C33" i="7"/>
  <c r="D22" i="6"/>
  <c r="H25" i="14"/>
  <c r="C32" i="7"/>
  <c r="D21" i="6"/>
  <c r="A6" i="17"/>
  <c r="I12" i="18"/>
  <c r="G6" i="7"/>
  <c r="I16" i="6"/>
  <c r="L25" i="12"/>
  <c r="L26" i="12"/>
  <c r="L27" i="12"/>
  <c r="L28" i="12"/>
  <c r="L18" i="12"/>
  <c r="E25" i="6"/>
  <c r="E24" i="6"/>
  <c r="H8" i="6"/>
  <c r="J22" i="14"/>
  <c r="J24" i="14"/>
  <c r="J23" i="14"/>
  <c r="D36" i="13"/>
  <c r="D20" i="14" l="1"/>
  <c r="M7" i="14"/>
  <c r="D22" i="14"/>
  <c r="M9" i="14"/>
  <c r="L13" i="6"/>
  <c r="B49" i="7"/>
  <c r="L9" i="6"/>
  <c r="B45" i="7"/>
  <c r="M5" i="6"/>
  <c r="C41" i="7"/>
  <c r="K5" i="6"/>
  <c r="K6" i="6"/>
  <c r="M6" i="6"/>
  <c r="C42" i="7"/>
  <c r="M15" i="11"/>
  <c r="N15" i="11" s="1"/>
  <c r="P15" i="11" s="1"/>
  <c r="D23" i="14"/>
  <c r="M10" i="14"/>
  <c r="D21" i="14"/>
  <c r="M8" i="14"/>
  <c r="J24" i="11"/>
  <c r="L14" i="6"/>
  <c r="B50" i="7"/>
  <c r="B48" i="7"/>
  <c r="L12" i="6"/>
  <c r="L8" i="6"/>
  <c r="B44" i="7"/>
  <c r="J21" i="14"/>
  <c r="J25" i="14" s="1"/>
  <c r="I25" i="14"/>
  <c r="N21" i="14"/>
  <c r="L25" i="14"/>
  <c r="N25" i="14" s="1"/>
  <c r="A11" i="16" s="1"/>
  <c r="B71" i="7"/>
  <c r="Q17" i="12"/>
  <c r="M17" i="12"/>
  <c r="N17" i="12" s="1"/>
  <c r="M18" i="12" s="1"/>
  <c r="N18" i="12" s="1"/>
  <c r="L10" i="6"/>
  <c r="B46" i="7"/>
  <c r="M7" i="6"/>
  <c r="K7" i="6"/>
  <c r="C43" i="7"/>
  <c r="G31" i="13"/>
  <c r="G21" i="13"/>
  <c r="G24" i="13" s="1"/>
  <c r="G26" i="13" s="1"/>
  <c r="F27" i="13"/>
  <c r="F28" i="13" s="1"/>
  <c r="F33" i="13" s="1"/>
  <c r="F34" i="13" s="1"/>
  <c r="O59" i="5"/>
  <c r="J16" i="6"/>
  <c r="L25" i="11"/>
  <c r="F21" i="6"/>
  <c r="G21" i="6" s="1"/>
  <c r="O49" i="5"/>
  <c r="J14" i="6"/>
  <c r="L23" i="11"/>
  <c r="L5" i="6"/>
  <c r="B41" i="7"/>
  <c r="K13" i="6"/>
  <c r="M13" i="6"/>
  <c r="C49" i="7"/>
  <c r="M22" i="11"/>
  <c r="N22" i="11" s="1"/>
  <c r="P22" i="11" s="1"/>
  <c r="K12" i="6"/>
  <c r="M12" i="6"/>
  <c r="C48" i="7"/>
  <c r="M21" i="11"/>
  <c r="N21" i="11" s="1"/>
  <c r="P21" i="11" s="1"/>
  <c r="K11" i="6"/>
  <c r="M11" i="6"/>
  <c r="C47" i="7"/>
  <c r="M20" i="11"/>
  <c r="N20" i="11"/>
  <c r="P20" i="11" s="1"/>
  <c r="K10" i="6"/>
  <c r="M10" i="6"/>
  <c r="C46" i="7"/>
  <c r="M19" i="11"/>
  <c r="N19" i="11" s="1"/>
  <c r="P19" i="11" s="1"/>
  <c r="K9" i="6"/>
  <c r="M9" i="6"/>
  <c r="C45" i="7"/>
  <c r="M18" i="11"/>
  <c r="N18" i="11" s="1"/>
  <c r="P18" i="11" s="1"/>
  <c r="K8" i="6"/>
  <c r="M8" i="6"/>
  <c r="C44" i="7"/>
  <c r="M17" i="11"/>
  <c r="N17" i="11" s="1"/>
  <c r="P17" i="11" s="1"/>
  <c r="F25" i="6"/>
  <c r="G25" i="6" s="1"/>
  <c r="O53" i="5"/>
  <c r="F24" i="6"/>
  <c r="G24" i="6" s="1"/>
  <c r="O52" i="5"/>
  <c r="F23" i="6"/>
  <c r="G23" i="6" s="1"/>
  <c r="O51" i="5"/>
  <c r="B33" i="14"/>
  <c r="I22" i="17"/>
  <c r="G89" i="7"/>
  <c r="E32" i="14"/>
  <c r="K12" i="14"/>
  <c r="M12" i="14" s="1"/>
  <c r="D24" i="14"/>
  <c r="M11" i="14"/>
  <c r="F22" i="6"/>
  <c r="G22" i="6" s="1"/>
  <c r="O50" i="5"/>
  <c r="B52" i="7"/>
  <c r="L16" i="6"/>
  <c r="J25" i="11"/>
  <c r="J23" i="11"/>
  <c r="E37" i="13"/>
  <c r="E36" i="13"/>
  <c r="D10" i="7"/>
  <c r="J10" i="7"/>
  <c r="B24" i="15"/>
  <c r="C22" i="17"/>
  <c r="O55" i="5"/>
  <c r="J15" i="6"/>
  <c r="L24" i="11"/>
  <c r="I13" i="18"/>
  <c r="D25" i="14" l="1"/>
  <c r="Q18" i="12"/>
  <c r="B72" i="7"/>
  <c r="G27" i="13"/>
  <c r="G28" i="13" s="1"/>
  <c r="G33" i="13" s="1"/>
  <c r="G34" i="13" s="1"/>
  <c r="K16" i="6"/>
  <c r="M16" i="6"/>
  <c r="C52" i="7"/>
  <c r="M25" i="11"/>
  <c r="K14" i="6"/>
  <c r="M14" i="6"/>
  <c r="C50" i="7"/>
  <c r="M23" i="11"/>
  <c r="M19" i="12"/>
  <c r="N19" i="12" s="1"/>
  <c r="Q19" i="12"/>
  <c r="B73" i="7"/>
  <c r="K25" i="11"/>
  <c r="C31" i="11"/>
  <c r="D31" i="11" s="1"/>
  <c r="K24" i="11"/>
  <c r="K23" i="11"/>
  <c r="B44" i="13"/>
  <c r="B39" i="17" s="1"/>
  <c r="F37" i="13"/>
  <c r="G10" i="7"/>
  <c r="I14" i="18"/>
  <c r="D6" i="17"/>
  <c r="B29" i="17"/>
  <c r="C29" i="17" s="1"/>
  <c r="B27" i="15"/>
  <c r="C24" i="15"/>
  <c r="D22" i="17"/>
  <c r="E22" i="17" s="1"/>
  <c r="C23" i="17"/>
  <c r="D23" i="17" s="1"/>
  <c r="C51" i="7"/>
  <c r="M15" i="6"/>
  <c r="K15" i="6"/>
  <c r="M24" i="11"/>
  <c r="F36" i="13"/>
  <c r="N23" i="11" l="1"/>
  <c r="P23" i="11" s="1"/>
  <c r="N24" i="11"/>
  <c r="P24" i="11" s="1"/>
  <c r="N25" i="11"/>
  <c r="P25" i="11" s="1"/>
  <c r="M20" i="12"/>
  <c r="N20" i="12" s="1"/>
  <c r="Q20" i="12"/>
  <c r="B74" i="7"/>
  <c r="A6" i="16"/>
  <c r="I15" i="18"/>
  <c r="G6" i="17"/>
  <c r="A16" i="16"/>
  <c r="C27" i="15"/>
  <c r="J6" i="17"/>
  <c r="J89" i="7"/>
  <c r="B32" i="17"/>
  <c r="C32" i="17" s="1"/>
  <c r="B28" i="15"/>
  <c r="G37" i="13"/>
  <c r="G36" i="13"/>
  <c r="B42" i="13" s="1"/>
  <c r="G42" i="13"/>
  <c r="H44" i="13"/>
  <c r="H43" i="13"/>
  <c r="G44" i="13"/>
  <c r="H42" i="13"/>
  <c r="I42" i="13"/>
  <c r="I44" i="13"/>
  <c r="G43" i="13"/>
  <c r="I43" i="13"/>
  <c r="B43" i="13"/>
  <c r="B38" i="17" s="1"/>
  <c r="M21" i="12" l="1"/>
  <c r="N21" i="12" s="1"/>
  <c r="Q21" i="12"/>
  <c r="B75" i="7"/>
  <c r="A26" i="16"/>
  <c r="B45" i="13"/>
  <c r="B40" i="17" s="1"/>
  <c r="B37" i="17"/>
  <c r="I19" i="18"/>
  <c r="A11" i="17"/>
  <c r="M22" i="12" l="1"/>
  <c r="N22" i="12" s="1"/>
  <c r="Q22" i="12"/>
  <c r="B76" i="7"/>
  <c r="M23" i="12" l="1"/>
  <c r="N23" i="12" s="1"/>
  <c r="Q23" i="12"/>
  <c r="B77" i="7"/>
  <c r="M24" i="12" l="1"/>
  <c r="N24" i="12" s="1"/>
  <c r="Q24" i="12"/>
  <c r="B78" i="7"/>
  <c r="M25" i="12" l="1"/>
  <c r="N25" i="12" s="1"/>
  <c r="Q25" i="12"/>
  <c r="B79" i="7"/>
  <c r="M26" i="12" l="1"/>
  <c r="N26" i="12" s="1"/>
  <c r="Q26" i="12"/>
  <c r="B80" i="7"/>
  <c r="Q27" i="12" l="1"/>
  <c r="B81" i="7"/>
  <c r="M27" i="12"/>
  <c r="N27" i="12" s="1"/>
  <c r="M28" i="12" l="1"/>
  <c r="N28" i="12" s="1"/>
  <c r="Q28" i="12"/>
  <c r="B82" i="7"/>
  <c r="B33" i="12" l="1"/>
  <c r="I36" i="17"/>
  <c r="K36" i="17" s="1"/>
  <c r="Q29" i="12"/>
  <c r="B34" i="12"/>
  <c r="D34" i="12" s="1"/>
  <c r="E34" i="12" s="1"/>
  <c r="J66" i="7"/>
  <c r="B83" i="7"/>
  <c r="D33" i="12" l="1"/>
  <c r="E33" i="12" s="1"/>
  <c r="A21" i="16"/>
  <c r="H44" i="17" s="1"/>
</calcChain>
</file>

<file path=xl/sharedStrings.xml><?xml version="1.0" encoding="utf-8"?>
<sst xmlns="http://schemas.openxmlformats.org/spreadsheetml/2006/main" count="1810" uniqueCount="711">
  <si>
    <t>Northstar Consumer Brands Ltd — FP&amp;A Operating Plan, Rolling Forecast &amp; Scenario Modelling</t>
  </si>
  <si>
    <t>Portfolio case study | UK consumer/FMCG | Model date: 2 Oct 2026</t>
  </si>
  <si>
    <t>1. Business case</t>
  </si>
  <si>
    <t>Northstar Consumer Brands Ltd is a fictional UK multi-division consumer business. Management needs a 2026 operating plan, rolling forecast and scenario model that explains revenue, gross margin and EBITDA performance by month and division. The model uses synthetic portfolio data so every assumption and calculation can be discussed transparently in interviews.</t>
  </si>
  <si>
    <t>2. What this workbook demonstrates</t>
  </si>
  <si>
    <t>Driver-based revenue planning</t>
  </si>
  <si>
    <t>Units × ASP with division-level growth assumptions</t>
  </si>
  <si>
    <t>Budgeting</t>
  </si>
  <si>
    <t>2026 monthly operating budget linked to 2025 actual run-rate</t>
  </si>
  <si>
    <t>Rolling forecast</t>
  </si>
  <si>
    <t>Jan–Sep actuals + Oct–Dec scenario-adjusted forecast</t>
  </si>
  <si>
    <t>Variance analysis</t>
  </si>
  <si>
    <t>Budget vs forecast revenue, gross profit and EBITDA</t>
  </si>
  <si>
    <t>Scenario planning</t>
  </si>
  <si>
    <t>Base / Upside / Downside operating assumptions</t>
  </si>
  <si>
    <t>Management reporting</t>
  </si>
  <si>
    <t>Executive KPI dashboard and decision-ready summaries</t>
  </si>
  <si>
    <t>Excel modelling</t>
  </si>
  <si>
    <t>Linked schedules, formula discipline and finance formatting conventions</t>
  </si>
  <si>
    <t>3. Model navigation</t>
  </si>
  <si>
    <t>Assumptions</t>
  </si>
  <si>
    <t>Editable scenario and 2026 budget drivers</t>
  </si>
  <si>
    <t>Historical Actuals</t>
  </si>
  <si>
    <t>Synthetic monthly actuals from Jan-2024 to Sep-2026</t>
  </si>
  <si>
    <t>Budget 2026</t>
  </si>
  <si>
    <t>Driver-based full-year 2026 budget</t>
  </si>
  <si>
    <t>Rolling Forecast</t>
  </si>
  <si>
    <t>Actuals through Sep-2026 plus Q4 forecast</t>
  </si>
  <si>
    <t>Variance Analysis</t>
  </si>
  <si>
    <t>Monthly and divisional budget-vs-forecast bridge</t>
  </si>
  <si>
    <t>Dashboard</t>
  </si>
  <si>
    <t>Executive KPI summary and charts</t>
  </si>
  <si>
    <t>Data Dictionary</t>
  </si>
  <si>
    <t>Definitions, units and modelling notes</t>
  </si>
  <si>
    <t>4. Portfolio / interview note</t>
  </si>
  <si>
    <t>This is an independent portfolio project, not a live company engagement. Financial figures are synthetic. Use it to demonstrate modelling logic, FP&amp;A judgement and management communication—not to claim realised business savings. A recruiter-safe phrasing is: 'Built a driver-based FP&amp;A model covering revenue, COGS, payroll and operating expenses; produced a rolling forecast, scenario analysis and budget-versus-forecast variance reporting for a multi-division consumer business.'</t>
  </si>
  <si>
    <t>5. Build 2 additions</t>
  </si>
  <si>
    <t>Build 2 adds detailed headcount/payroll planning, a capital expenditure and depreciation schedule, working-capital forecasting, a 13-week liquidity forecast, and an investment-appraisal business case. The payroll schedule now feeds the 2026 budget, while working capital and the cash forecast pull directly from the rolling forecast. This creates a more realistic FP&amp;A model linking operating drivers to cash.</t>
  </si>
  <si>
    <t>6. Build 3 additions</t>
  </si>
  <si>
    <t>Build 3 adds a full-year Price–Volume–Mix bridge, a gross-profit driver bridge, a probability-weighted Risks &amp; Opportunities register, formula-driven management commentary and a CFO-style management pack. The project now moves beyond reporting into business partnering: explaining performance drivers, quantifying forecast uncertainty, prioritising actions and presenting an adjusted management outlook.</t>
  </si>
  <si>
    <t>7. Final portfolio release</t>
  </si>
  <si>
    <t>Final release prepared for CV, LinkedIn and interview use. The workbook now includes a recruiter-facing Portfolio Summary sheet and is distributed with a README, project description, CV bullets, LinkedIn launch post, interview explanation and selected screenshots. All inputs are synthetic and should be described as an independent portfolio case study.</t>
  </si>
  <si>
    <t>Assumptions &amp; Scenario Controls</t>
  </si>
  <si>
    <t>Blue font = hardcoded input | Black = formula | Green = cross-sheet link</t>
  </si>
  <si>
    <t>Active scenario</t>
  </si>
  <si>
    <t>Selected Scenario</t>
  </si>
  <si>
    <t>Base</t>
  </si>
  <si>
    <t>Scenario multipliers for Q4 rolling forecast</t>
  </si>
  <si>
    <t>Scenario</t>
  </si>
  <si>
    <t>Volume</t>
  </si>
  <si>
    <t>ASP / Price</t>
  </si>
  <si>
    <t>Unit Cost</t>
  </si>
  <si>
    <t>Marketing</t>
  </si>
  <si>
    <t>Other Opex</t>
  </si>
  <si>
    <t>Upside</t>
  </si>
  <si>
    <t>Downside</t>
  </si>
  <si>
    <t>Active scenario multipliers</t>
  </si>
  <si>
    <t>Metric</t>
  </si>
  <si>
    <t>Active</t>
  </si>
  <si>
    <t>2026 division budget assumptions</t>
  </si>
  <si>
    <t>Division</t>
  </si>
  <si>
    <t>Unit Growth</t>
  </si>
  <si>
    <t>ASP Growth</t>
  </si>
  <si>
    <t>Unit Cost Inflation</t>
  </si>
  <si>
    <t>Marketing % Revenue</t>
  </si>
  <si>
    <t>Payroll Growth</t>
  </si>
  <si>
    <t>Other Opex Growth</t>
  </si>
  <si>
    <t>Personal Care</t>
  </si>
  <si>
    <t>Home Care</t>
  </si>
  <si>
    <t>Nutrition &amp; Wellness</t>
  </si>
  <si>
    <t>Baby &amp; Kids</t>
  </si>
  <si>
    <t>Leisure &amp; Lifestyle</t>
  </si>
  <si>
    <t>Modelling notes</t>
  </si>
  <si>
    <t>Historical period</t>
  </si>
  <si>
    <t>Jan-2024 to Sep-2026 actuals</t>
  </si>
  <si>
    <t>Budget period</t>
  </si>
  <si>
    <t>Jan-2026 to Dec-2026</t>
  </si>
  <si>
    <t>Jan-Sep actual; Oct-Dec forecast</t>
  </si>
  <si>
    <t>Units</t>
  </si>
  <si>
    <t>Physical units sold</t>
  </si>
  <si>
    <t>Financial units</t>
  </si>
  <si>
    <t>£000 unless otherwise stated</t>
  </si>
  <si>
    <t>Dataset source</t>
  </si>
  <si>
    <t>Synthetic portfolio dataset generated for this project</t>
  </si>
  <si>
    <t>Historical Actuals — Monthly Division Performance</t>
  </si>
  <si>
    <t>Period</t>
  </si>
  <si>
    <t>ASP (£/unit)</t>
  </si>
  <si>
    <t>Revenue (£000)</t>
  </si>
  <si>
    <t>Unit Cost (£/unit)</t>
  </si>
  <si>
    <t>COGS (£000)</t>
  </si>
  <si>
    <t>Gross Profit (£000)</t>
  </si>
  <si>
    <t>GP %</t>
  </si>
  <si>
    <t>Marketing (£000)</t>
  </si>
  <si>
    <t>Payroll (£000)</t>
  </si>
  <si>
    <t>Other Opex (£000)</t>
  </si>
  <si>
    <t>EBITDA (£000)</t>
  </si>
  <si>
    <t>EBITDA %</t>
  </si>
  <si>
    <t>Status</t>
  </si>
  <si>
    <t>Actual</t>
  </si>
  <si>
    <t>2026 Operating Budget — Driver-Based by Division</t>
  </si>
  <si>
    <t>PY Units</t>
  </si>
  <si>
    <t>Budget Units</t>
  </si>
  <si>
    <t>PY ASP</t>
  </si>
  <si>
    <t>Budget ASP</t>
  </si>
  <si>
    <t>PY Unit Cost</t>
  </si>
  <si>
    <t>Budget Unit Cost</t>
  </si>
  <si>
    <t>2026 Rolling Forecast — Jan–Sep Actual + Oct–Dec Scenario Forecast</t>
  </si>
  <si>
    <t>Source</t>
  </si>
  <si>
    <t>Forecast</t>
  </si>
  <si>
    <t>Budget vs Rolling Forecast — Variance Analysis</t>
  </si>
  <si>
    <t>Monthly performance bridge</t>
  </si>
  <si>
    <t>Month</t>
  </si>
  <si>
    <t>Budget Revenue</t>
  </si>
  <si>
    <t>Forecast Revenue</t>
  </si>
  <si>
    <t>Revenue Var £</t>
  </si>
  <si>
    <t>Revenue Var %</t>
  </si>
  <si>
    <t>Budget GP</t>
  </si>
  <si>
    <t>Forecast GP</t>
  </si>
  <si>
    <t>GP Var £</t>
  </si>
  <si>
    <t>Budget EBITDA</t>
  </si>
  <si>
    <t>Forecast EBITDA</t>
  </si>
  <si>
    <t>EBITDA Var £</t>
  </si>
  <si>
    <t>Budget EBITDA %</t>
  </si>
  <si>
    <t>Forecast EBITDA %</t>
  </si>
  <si>
    <t>Full-year summary by division</t>
  </si>
  <si>
    <t>Executive FP&amp;A Dashboard — FY2026</t>
  </si>
  <si>
    <t>FY26 Budget Revenue</t>
  </si>
  <si>
    <t>FY26 Forecast Revenue</t>
  </si>
  <si>
    <t>Revenue Variance</t>
  </si>
  <si>
    <t>Forecast GP %</t>
  </si>
  <si>
    <t>FY26 Budget EBITDA</t>
  </si>
  <si>
    <t>FY26 Forecast EBITDA</t>
  </si>
  <si>
    <t>EBITDA Variance</t>
  </si>
  <si>
    <t>Monthly Revenue — Budget vs Rolling Forecast (£000)</t>
  </si>
  <si>
    <t>Jan</t>
  </si>
  <si>
    <t>Feb</t>
  </si>
  <si>
    <t>Mar</t>
  </si>
  <si>
    <t>Apr</t>
  </si>
  <si>
    <t>May</t>
  </si>
  <si>
    <t>Jun</t>
  </si>
  <si>
    <t>Jul</t>
  </si>
  <si>
    <t>Aug</t>
  </si>
  <si>
    <t>Sep</t>
  </si>
  <si>
    <t>Oct</t>
  </si>
  <si>
    <t>Nov</t>
  </si>
  <si>
    <t>Dec</t>
  </si>
  <si>
    <t>FY2026 Revenue by Division (£000)</t>
  </si>
  <si>
    <t>Monthly EBITDA — Budget vs Rolling Forecast (£000)</t>
  </si>
  <si>
    <t>Management interpretation prompts</t>
  </si>
  <si>
    <t>Which months drive the largest revenue variance?</t>
  </si>
  <si>
    <t>Which division contributes most to EBITDA variance?</t>
  </si>
  <si>
    <t>Is performance being driven by volume, price, unit-cost inflation or operating spend?</t>
  </si>
  <si>
    <t>How does the Q4 outlook change under Base, Upside and Downside scenarios?</t>
  </si>
  <si>
    <t>What actions should management take before year-end?</t>
  </si>
  <si>
    <t>Build 2 — Workforce, Working Capital &amp; Liquidity</t>
  </si>
  <si>
    <t>Dec Headcount</t>
  </si>
  <si>
    <t>FY2026 Capex</t>
  </si>
  <si>
    <t>Dec Cash Conversion Cycle</t>
  </si>
  <si>
    <t>Week 13 Ending Cash</t>
  </si>
  <si>
    <t>Week</t>
  </si>
  <si>
    <t>Ending Cash</t>
  </si>
  <si>
    <t>Build 3 — Driver Analysis &amp; Management Outlook</t>
  </si>
  <si>
    <t>Volume Effect</t>
  </si>
  <si>
    <t>Mix Effect</t>
  </si>
  <si>
    <t>Price Effect</t>
  </si>
  <si>
    <t>R&amp;O-adjusted EBITDA</t>
  </si>
  <si>
    <t>Data Dictionary &amp; Modelling Definitions</t>
  </si>
  <si>
    <t>Field</t>
  </si>
  <si>
    <t>Definition</t>
  </si>
  <si>
    <t>Unit</t>
  </si>
  <si>
    <t>Input / Formula</t>
  </si>
  <si>
    <t>Used In</t>
  </si>
  <si>
    <t>Portfolio Relevance</t>
  </si>
  <si>
    <t>Notes</t>
  </si>
  <si>
    <t>units</t>
  </si>
  <si>
    <t>Input</t>
  </si>
  <si>
    <t>Actuals/Budget/Forecast</t>
  </si>
  <si>
    <t>Revenue driver</t>
  </si>
  <si>
    <t>Synthetic historical input</t>
  </si>
  <si>
    <t>ASP</t>
  </si>
  <si>
    <t>Average selling price</t>
  </si>
  <si>
    <t>£ per unit</t>
  </si>
  <si>
    <t>Input / formula</t>
  </si>
  <si>
    <t>Pricing driver</t>
  </si>
  <si>
    <t>Budget grows prior-year ASP</t>
  </si>
  <si>
    <t>Revenue</t>
  </si>
  <si>
    <t>Units × ASP</t>
  </si>
  <si>
    <t>£000</t>
  </si>
  <si>
    <t>Formula</t>
  </si>
  <si>
    <t>All schedules</t>
  </si>
  <si>
    <t>Top-line planning</t>
  </si>
  <si>
    <t>Calculated, not hardcoded</t>
  </si>
  <si>
    <t>Direct cost per unit</t>
  </si>
  <si>
    <t>COGS driver</t>
  </si>
  <si>
    <t>Inflation applied in budget</t>
  </si>
  <si>
    <t>COGS</t>
  </si>
  <si>
    <t>Units × Unit Cost</t>
  </si>
  <si>
    <t>Gross margin planning</t>
  </si>
  <si>
    <t>Gross Profit</t>
  </si>
  <si>
    <t>Revenue − COGS</t>
  </si>
  <si>
    <t>Margin analysis</t>
  </si>
  <si>
    <t>Calculated</t>
  </si>
  <si>
    <t>Gross Profit / Revenue</t>
  </si>
  <si>
    <t>%</t>
  </si>
  <si>
    <t>Margin KPI</t>
  </si>
  <si>
    <t>Division marketing spend</t>
  </si>
  <si>
    <t>Discretionary opex</t>
  </si>
  <si>
    <t>Budget linked to revenue</t>
  </si>
  <si>
    <t>Payroll</t>
  </si>
  <si>
    <t>Division payroll cost</t>
  </si>
  <si>
    <t>People cost</t>
  </si>
  <si>
    <t>Budget growth assumption</t>
  </si>
  <si>
    <t>Other operating expense</t>
  </si>
  <si>
    <t>Operating leverage</t>
  </si>
  <si>
    <t>EBITDA</t>
  </si>
  <si>
    <t>GP − Marketing − Payroll − Other Opex</t>
  </si>
  <si>
    <t>Core FP&amp;A KPI</t>
  </si>
  <si>
    <t>Base / Upside / Downside</t>
  </si>
  <si>
    <t>text</t>
  </si>
  <si>
    <t>Sensitivity analysis</t>
  </si>
  <si>
    <t>Only affects Q4 forecast</t>
  </si>
  <si>
    <t>Additional Build 2 Fields</t>
  </si>
  <si>
    <t>Headcount</t>
  </si>
  <si>
    <t>Employees / FTE planned by cost centre</t>
  </si>
  <si>
    <t>FTE</t>
  </si>
  <si>
    <t>Headcount &amp; Payroll</t>
  </si>
  <si>
    <t>Workforce planning</t>
  </si>
  <si>
    <t>Synthetic portfolio input</t>
  </si>
  <si>
    <t>Employer On-cost</t>
  </si>
  <si>
    <t>NI, pension and benefit load on salary</t>
  </si>
  <si>
    <t>Payroll planning</t>
  </si>
  <si>
    <t>Synthetic assumption</t>
  </si>
  <si>
    <t>Capex</t>
  </si>
  <si>
    <t>Capital investment spend</t>
  </si>
  <si>
    <t>Capex &amp; Depreciation</t>
  </si>
  <si>
    <t>Investment planning</t>
  </si>
  <si>
    <t>Synthetic project register</t>
  </si>
  <si>
    <t>Depreciation</t>
  </si>
  <si>
    <t>Straight-line depreciation from capital assets</t>
  </si>
  <si>
    <t>P&amp;L / asset planning</t>
  </si>
  <si>
    <t>Begins month after in-service</t>
  </si>
  <si>
    <t>DSO</t>
  </si>
  <si>
    <t>Days Sales Outstanding</t>
  </si>
  <si>
    <t>days</t>
  </si>
  <si>
    <t>Input / scenario</t>
  </si>
  <si>
    <t>Working Capital</t>
  </si>
  <si>
    <t>Receivables efficiency</t>
  </si>
  <si>
    <t>Simulated actual + scenario forecast</t>
  </si>
  <si>
    <t>Inventory Days</t>
  </si>
  <si>
    <t>Inventory held relative to COGS</t>
  </si>
  <si>
    <t>Inventory efficiency</t>
  </si>
  <si>
    <t>DPO</t>
  </si>
  <si>
    <t>Days Payable Outstanding</t>
  </si>
  <si>
    <t>Supplier funding</t>
  </si>
  <si>
    <t>Cash Conversion Cycle</t>
  </si>
  <si>
    <t>DSO + Inventory Days − DPO</t>
  </si>
  <si>
    <t>Working-capital KPI</t>
  </si>
  <si>
    <t>Lower generally indicates faster cash conversion</t>
  </si>
  <si>
    <t>13-Week Cash Forecast</t>
  </si>
  <si>
    <t>Weekly liquidity planning model</t>
  </si>
  <si>
    <t>Treasury / liquidity</t>
  </si>
  <si>
    <t>Q4 forecast</t>
  </si>
  <si>
    <t>NPV</t>
  </si>
  <si>
    <t>Present value of project free cash flows less initial capex</t>
  </si>
  <si>
    <t>Investment Appraisal</t>
  </si>
  <si>
    <t>Capital allocation</t>
  </si>
  <si>
    <t>Discounted at WACC</t>
  </si>
  <si>
    <t>IRR</t>
  </si>
  <si>
    <t>Discount rate at which project NPV equals zero</t>
  </si>
  <si>
    <t>Compared with WACC</t>
  </si>
  <si>
    <t>Additional Build 3 Fields</t>
  </si>
  <si>
    <t>Revenue impact from change in average selling price</t>
  </si>
  <si>
    <t>PVM Analysis</t>
  </si>
  <si>
    <t>Commercial finance</t>
  </si>
  <si>
    <t>Forecast units × ASP delta</t>
  </si>
  <si>
    <t>Revenue impact from change in total portfolio units</t>
  </si>
  <si>
    <t>Uses budget mix and budget ASP</t>
  </si>
  <si>
    <t>Revenue impact from change in divisional sales mix</t>
  </si>
  <si>
    <t>Separates mix from total volume</t>
  </si>
  <si>
    <t>Unit Cost Effect</t>
  </si>
  <si>
    <t>Gross-profit impact from change in direct cost per unit</t>
  </si>
  <si>
    <t>Negative when unit costs rise</t>
  </si>
  <si>
    <t>R&amp;O Probability</t>
  </si>
  <si>
    <t>Management assessment of likelihood</t>
  </si>
  <si>
    <t>Risks &amp; Opportunities</t>
  </si>
  <si>
    <t>Forecast governance</t>
  </si>
  <si>
    <t>Synthetic management judgement</t>
  </si>
  <si>
    <t>Weighted EBITDA</t>
  </si>
  <si>
    <t>EBITDA impact × probability</t>
  </si>
  <si>
    <t>Forecast uncertainty</t>
  </si>
  <si>
    <t>Probability-weighted overlay</t>
  </si>
  <si>
    <t>Base forecast plus weighted opportunities and risks</t>
  </si>
  <si>
    <t>Management outlook</t>
  </si>
  <si>
    <t>Not a committed forecast</t>
  </si>
  <si>
    <t>Management Commentary</t>
  </si>
  <si>
    <t>Formula-driven narrative generated from model outputs</t>
  </si>
  <si>
    <t>Business partnering</t>
  </si>
  <si>
    <t>Updates with model outputs</t>
  </si>
  <si>
    <t>Management Pack</t>
  </si>
  <si>
    <t>Executive summary of performance, drivers, cash, R&amp;O and actions</t>
  </si>
  <si>
    <t>report</t>
  </si>
  <si>
    <t>Linked output</t>
  </si>
  <si>
    <t>CFO reporting</t>
  </si>
  <si>
    <t>Portfolio-ready output</t>
  </si>
  <si>
    <t>2026 Headcount &amp; Payroll Planning</t>
  </si>
  <si>
    <t>Blue = planning input | Black = calculation | Source: synthetic portfolio assumptions designed for this case study</t>
  </si>
  <si>
    <t>Payroll assumptions</t>
  </si>
  <si>
    <t>Employer on-cost %</t>
  </si>
  <si>
    <t>Annual pay award</t>
  </si>
  <si>
    <t>Payroll unit</t>
  </si>
  <si>
    <t>Synthetic portfolio assumption</t>
  </si>
  <si>
    <t>Function</t>
  </si>
  <si>
    <t>Opening HC</t>
  </si>
  <si>
    <t>2026 Avg Salary (£000)</t>
  </si>
  <si>
    <t>Employer On-cost %</t>
  </si>
  <si>
    <t>Planned Hires</t>
  </si>
  <si>
    <t>Planned Exits</t>
  </si>
  <si>
    <t>Jan HC</t>
  </si>
  <si>
    <t>Feb HC</t>
  </si>
  <si>
    <t>Mar HC</t>
  </si>
  <si>
    <t>Apr HC</t>
  </si>
  <si>
    <t>May HC</t>
  </si>
  <si>
    <t>Jun HC</t>
  </si>
  <si>
    <t>Jul HC</t>
  </si>
  <si>
    <t>Aug HC</t>
  </si>
  <si>
    <t>Sep HC</t>
  </si>
  <si>
    <t>Oct HC</t>
  </si>
  <si>
    <t>Nov HC</t>
  </si>
  <si>
    <t>Dec HC</t>
  </si>
  <si>
    <t>Jan Payroll (£000)</t>
  </si>
  <si>
    <t>Feb Payroll (£000)</t>
  </si>
  <si>
    <t>Mar Payroll (£000)</t>
  </si>
  <si>
    <t>Apr Payroll (£000)</t>
  </si>
  <si>
    <t>May Payroll (£000)</t>
  </si>
  <si>
    <t>Jun Payroll (£000)</t>
  </si>
  <si>
    <t>Jul Payroll (£000)</t>
  </si>
  <si>
    <t>Aug Payroll (£000)</t>
  </si>
  <si>
    <t>Sep Payroll (£000)</t>
  </si>
  <si>
    <t>Oct Payroll (£000)</t>
  </si>
  <si>
    <t>Nov Payroll (£000)</t>
  </si>
  <si>
    <t>Dec Payroll (£000)</t>
  </si>
  <si>
    <t>Sales &amp; Marketing</t>
  </si>
  <si>
    <t>Operations</t>
  </si>
  <si>
    <t>Finance &amp; Admin</t>
  </si>
  <si>
    <t>Product / R&amp;D</t>
  </si>
  <si>
    <t>Monthly payroll budget by division (£000)</t>
  </si>
  <si>
    <t>FY2026</t>
  </si>
  <si>
    <t>Monthly total headcount</t>
  </si>
  <si>
    <t>FY-end</t>
  </si>
  <si>
    <t>Total HC</t>
  </si>
  <si>
    <t>2026 Capex &amp; Depreciation Schedule</t>
  </si>
  <si>
    <t>Capital plan is synthetic and designed for portfolio modelling. Capex is recognised in the in-service month; depreciation begins the following month.</t>
  </si>
  <si>
    <t>Capital project register</t>
  </si>
  <si>
    <t>Project</t>
  </si>
  <si>
    <t>Type</t>
  </si>
  <si>
    <t>Capex (£000)</t>
  </si>
  <si>
    <t>In-service Month</t>
  </si>
  <si>
    <t>Useful Life (Years)</t>
  </si>
  <si>
    <t>Business Rationale</t>
  </si>
  <si>
    <t>Warehouse Automation</t>
  </si>
  <si>
    <t>Growth</t>
  </si>
  <si>
    <t>Reduce fulfilment cost and improve throughput</t>
  </si>
  <si>
    <t>E-commerce Platform Upgrade</t>
  </si>
  <si>
    <t>Improve conversion and direct-to-consumer capability</t>
  </si>
  <si>
    <t>Production Line Upgrade</t>
  </si>
  <si>
    <t>Maintenance</t>
  </si>
  <si>
    <t>Increase reliability and reduce downtime</t>
  </si>
  <si>
    <t>Quality Lab Equipment</t>
  </si>
  <si>
    <t>Improve testing capacity and compliance</t>
  </si>
  <si>
    <t>Nutrition Product Pilot Line</t>
  </si>
  <si>
    <t>Support new product launches</t>
  </si>
  <si>
    <t>Energy Efficiency Programme</t>
  </si>
  <si>
    <t>Efficiency</t>
  </si>
  <si>
    <t>Reduce utilities cost and carbon intensity</t>
  </si>
  <si>
    <t>Monthly project schedule (£000)</t>
  </si>
  <si>
    <t>Full capex in in-service month</t>
  </si>
  <si>
    <t>Straight-line; begins month after in-service</t>
  </si>
  <si>
    <t>Monthly total capital plan (£000)</t>
  </si>
  <si>
    <t>Working Capital &amp; Free Cash Flow Forecast</t>
  </si>
  <si>
    <t>Working-capital assumptions are synthetic. Jan–Sep operating-day inputs represent simulated actuals; Q4 uses the active scenario.</t>
  </si>
  <si>
    <t>Q4 working-capital scenario assumptions</t>
  </si>
  <si>
    <t>Monthly working-capital and cash conversion (£000)</t>
  </si>
  <si>
    <t>Accounts Receivable</t>
  </si>
  <si>
    <t>Inventory</t>
  </si>
  <si>
    <t>Accounts Payable</t>
  </si>
  <si>
    <t>Net Working Capital</t>
  </si>
  <si>
    <t>Change in NWC</t>
  </si>
  <si>
    <t>Cash Tax</t>
  </si>
  <si>
    <t>Operating CF pre-Capex</t>
  </si>
  <si>
    <t>Free Cash Flow</t>
  </si>
  <si>
    <t>Working-capital KPI summary</t>
  </si>
  <si>
    <t>Sep Actual</t>
  </si>
  <si>
    <t>Dec Forecast</t>
  </si>
  <si>
    <t>Change</t>
  </si>
  <si>
    <t>Interpretation</t>
  </si>
  <si>
    <t>Lower is better</t>
  </si>
  <si>
    <t>Net Working Capital (£000)</t>
  </si>
  <si>
    <t>Cash tied up in operations</t>
  </si>
  <si>
    <t>13-Week Cash Flow Forecast — Q4 2026</t>
  </si>
  <si>
    <t>Liquidity planning model. Sales and cost run-rates are linked to the rolling forecast; collection/payment timing assumptions are synthetic.</t>
  </si>
  <si>
    <t>Liquidity assumptions</t>
  </si>
  <si>
    <t>Opening Cash (£000)</t>
  </si>
  <si>
    <t>Minimum Cash Policy (£000)</t>
  </si>
  <si>
    <t>Current-week Sales Collection</t>
  </si>
  <si>
    <t>Next-week Sales Collection</t>
  </si>
  <si>
    <t>Current-week Supplier Payment</t>
  </si>
  <si>
    <t>Next-week Supplier Payment</t>
  </si>
  <si>
    <t>Weekly liquidity forecast (£000)</t>
  </si>
  <si>
    <t>Week Start</t>
  </si>
  <si>
    <t>Fiscal Month</t>
  </si>
  <si>
    <t>Weekly Sales</t>
  </si>
  <si>
    <t>Cash Receipts</t>
  </si>
  <si>
    <t>Supplier Payments</t>
  </si>
  <si>
    <t>Tax / Other</t>
  </si>
  <si>
    <t>Net Cash Flow</t>
  </si>
  <si>
    <t>Opening Cash</t>
  </si>
  <si>
    <t>Liquidity summary</t>
  </si>
  <si>
    <t>Value</t>
  </si>
  <si>
    <t>Policy / Comparator</t>
  </si>
  <si>
    <t>Headroom</t>
  </si>
  <si>
    <t>Minimum Ending Cash</t>
  </si>
  <si>
    <t>Lowest point across 13 weeks</t>
  </si>
  <si>
    <t>Closing Q4 liquidity</t>
  </si>
  <si>
    <t>Capital Investment Appraisal — Warehouse Automation</t>
  </si>
  <si>
    <t>Illustrative business case using synthetic assumptions. Decision metrics: NPV, IRR and simple payback.</t>
  </si>
  <si>
    <t>Investment assumptions</t>
  </si>
  <si>
    <t>Initial Capex (£000)</t>
  </si>
  <si>
    <t>Project Life (Years)</t>
  </si>
  <si>
    <t>WACC</t>
  </si>
  <si>
    <t>Corporation Tax Rate</t>
  </si>
  <si>
    <t>Year 1 Incremental Revenue (£000)</t>
  </si>
  <si>
    <t>Revenue Growth</t>
  </si>
  <si>
    <t>Gross Margin</t>
  </si>
  <si>
    <t>Year 1 Cost Savings (£000)</t>
  </si>
  <si>
    <t>Cost Saving Growth</t>
  </si>
  <si>
    <t>Annual Maintenance (£000)</t>
  </si>
  <si>
    <t>5-year discounted cash-flow business case (£000)</t>
  </si>
  <si>
    <t>Year 0</t>
  </si>
  <si>
    <t>Year 1</t>
  </si>
  <si>
    <t>Year 2</t>
  </si>
  <si>
    <t>Year 3</t>
  </si>
  <si>
    <t>Year 4</t>
  </si>
  <si>
    <t>Year 5</t>
  </si>
  <si>
    <t>Incremental Revenue</t>
  </si>
  <si>
    <t>Cost Savings</t>
  </si>
  <si>
    <t>EBIT</t>
  </si>
  <si>
    <t>Tax</t>
  </si>
  <si>
    <t>NOPAT</t>
  </si>
  <si>
    <t>Add: Depreciation</t>
  </si>
  <si>
    <t>Initial / Replacement Capex</t>
  </si>
  <si>
    <t>Discount Factor</t>
  </si>
  <si>
    <t>Present Value</t>
  </si>
  <si>
    <t>Cumulative FCF</t>
  </si>
  <si>
    <t>Investment decision summary</t>
  </si>
  <si>
    <t>NPV sensitivity (£000)</t>
  </si>
  <si>
    <t>Result</t>
  </si>
  <si>
    <t>Threshold / Rule</t>
  </si>
  <si>
    <t>Revenue Case</t>
  </si>
  <si>
    <t>8.0%</t>
  </si>
  <si>
    <t>9.5%</t>
  </si>
  <si>
    <t>11.0%</t>
  </si>
  <si>
    <t>NPV (£000)</t>
  </si>
  <si>
    <t>&gt; 0</t>
  </si>
  <si>
    <t>Value creation</t>
  </si>
  <si>
    <t>90%</t>
  </si>
  <si>
    <t>&gt; WACC</t>
  </si>
  <si>
    <t>Return vs hurdle rate</t>
  </si>
  <si>
    <t>100%</t>
  </si>
  <si>
    <t>Simple Payback</t>
  </si>
  <si>
    <t>≤ 5 years</t>
  </si>
  <si>
    <t>Liquidity / recovery</t>
  </si>
  <si>
    <t>110%</t>
  </si>
  <si>
    <t>Decision</t>
  </si>
  <si>
    <t>Proceed only if NPV &gt; 0 and IRR &gt; WACC</t>
  </si>
  <si>
    <t>Portfolio case-study output</t>
  </si>
  <si>
    <t>FY2026 Price–Volume–Mix &amp; Gross Margin Bridge</t>
  </si>
  <si>
    <t>Full-year Budget vs Rolling Forecast. PVM separates revenue variance into total volume, portfolio mix and price effects.</t>
  </si>
  <si>
    <t>Revenue Price–Volume–Mix bridge by division</t>
  </si>
  <si>
    <t>Forecast Units</t>
  </si>
  <si>
    <t>Budget Mix %</t>
  </si>
  <si>
    <t>Forecast Mix %</t>
  </si>
  <si>
    <t>Budget ASP (£/unit)</t>
  </si>
  <si>
    <t>Forecast ASP (£/unit)</t>
  </si>
  <si>
    <t>Volume Effect (£000)</t>
  </si>
  <si>
    <t>Mix Effect (£000)</t>
  </si>
  <si>
    <t>Price Effect (£000)</t>
  </si>
  <si>
    <t>PVM Total (£000)</t>
  </si>
  <si>
    <t>Revenue Variance (£000)</t>
  </si>
  <si>
    <t>Control (£000)</t>
  </si>
  <si>
    <t>Primary Driver</t>
  </si>
  <si>
    <t>TOTAL</t>
  </si>
  <si>
    <t>Bridge check</t>
  </si>
  <si>
    <t>Portfolio helper</t>
  </si>
  <si>
    <t>Budget</t>
  </si>
  <si>
    <t>Total Units</t>
  </si>
  <si>
    <t>Weighted ASP</t>
  </si>
  <si>
    <t>Gross profit bridge: revenue PVM plus unit-cost effects</t>
  </si>
  <si>
    <t>Forecast Unit Cost</t>
  </si>
  <si>
    <t>Revenue PVM (£000)</t>
  </si>
  <si>
    <t>COGS Volume (£000)</t>
  </si>
  <si>
    <t>COGS Mix (£000)</t>
  </si>
  <si>
    <t>Unit Cost Effect (£000)</t>
  </si>
  <si>
    <t>Calculated GP Var (£000)</t>
  </si>
  <si>
    <t>Actual GP Var (£000)</t>
  </si>
  <si>
    <t>Budget GP (£000)</t>
  </si>
  <si>
    <t>Forecast GP (£000)</t>
  </si>
  <si>
    <t>Budget GP %</t>
  </si>
  <si>
    <t>Executive revenue bridge (£000)</t>
  </si>
  <si>
    <t>Bridge Item</t>
  </si>
  <si>
    <t>Driver</t>
  </si>
  <si>
    <t>Effect (£000)</t>
  </si>
  <si>
    <t>Mix</t>
  </si>
  <si>
    <t>Price</t>
  </si>
  <si>
    <t>FY2026 Risks &amp; Opportunities Register</t>
  </si>
  <si>
    <t>Probability-weighted management overlay to the current rolling forecast. Impacts are synthetic portfolio assumptions and not realised company outcomes.</t>
  </si>
  <si>
    <t>Management R&amp;O register</t>
  </si>
  <si>
    <t>ID</t>
  </si>
  <si>
    <t>Owner</t>
  </si>
  <si>
    <t>Category</t>
  </si>
  <si>
    <t>Timing</t>
  </si>
  <si>
    <t>Probability %</t>
  </si>
  <si>
    <t>Revenue Impact (£000)</t>
  </si>
  <si>
    <t>EBITDA Impact (£000)</t>
  </si>
  <si>
    <t>Weighted EBITDA (£000)</t>
  </si>
  <si>
    <t>Management Action</t>
  </si>
  <si>
    <t>O-01</t>
  </si>
  <si>
    <t>Opportunity</t>
  </si>
  <si>
    <t>Commercial Director</t>
  </si>
  <si>
    <t>Demand</t>
  </si>
  <si>
    <t>Open</t>
  </si>
  <si>
    <t>Secure incremental retailer promotion</t>
  </si>
  <si>
    <t>O-02</t>
  </si>
  <si>
    <t>E-commerce Lead</t>
  </si>
  <si>
    <t>Pricing</t>
  </si>
  <si>
    <t>Test premium bundle pricing</t>
  </si>
  <si>
    <t>O-03</t>
  </si>
  <si>
    <t>Operations Director</t>
  </si>
  <si>
    <t>Cost</t>
  </si>
  <si>
    <t>In progress</t>
  </si>
  <si>
    <t>Accelerate supplier re-tender</t>
  </si>
  <si>
    <t>O-04</t>
  </si>
  <si>
    <t>Sales Director</t>
  </si>
  <si>
    <t>Shift campaign toward higher-margin SKUs</t>
  </si>
  <si>
    <t>O-05</t>
  </si>
  <si>
    <t>Finance Business Partner</t>
  </si>
  <si>
    <t>Tighten promotional accrual controls</t>
  </si>
  <si>
    <t>R-01</t>
  </si>
  <si>
    <t>Risk</t>
  </si>
  <si>
    <t>Procurement Lead</t>
  </si>
  <si>
    <t>Commodity Cost</t>
  </si>
  <si>
    <t>Lock short-term supplier pricing</t>
  </si>
  <si>
    <t>R-02</t>
  </si>
  <si>
    <t>Adjust promotional calendar</t>
  </si>
  <si>
    <t>R-03</t>
  </si>
  <si>
    <t>Supply</t>
  </si>
  <si>
    <t>Monitoring</t>
  </si>
  <si>
    <t>Qualify alternative supplier</t>
  </si>
  <si>
    <t>R-04</t>
  </si>
  <si>
    <t>Customer</t>
  </si>
  <si>
    <t>Prepare customer retention plan</t>
  </si>
  <si>
    <t>R-05</t>
  </si>
  <si>
    <t>Marketing Director</t>
  </si>
  <si>
    <t>Marketing ROI</t>
  </si>
  <si>
    <t>Pause low-return campaigns</t>
  </si>
  <si>
    <t>R-06</t>
  </si>
  <si>
    <t>Corporate</t>
  </si>
  <si>
    <t>CFO</t>
  </si>
  <si>
    <t>FX / Inflation</t>
  </si>
  <si>
    <t>Update hedging and cost assumptions</t>
  </si>
  <si>
    <t>O-06</t>
  </si>
  <si>
    <t>Cost Control</t>
  </si>
  <si>
    <t>Freeze non-essential discretionary spend</t>
  </si>
  <si>
    <t>Probability-weighted forecast bridge (£000)</t>
  </si>
  <si>
    <t>Weighted EBITDA R&amp;O by division (£000)</t>
  </si>
  <si>
    <t>Variance vs Budget</t>
  </si>
  <si>
    <t>Comment</t>
  </si>
  <si>
    <t>Net</t>
  </si>
  <si>
    <t>FY2026 budget</t>
  </si>
  <si>
    <t>Base Rolling Forecast EBITDA</t>
  </si>
  <si>
    <t>Current operational forecast</t>
  </si>
  <si>
    <t>Weighted Opportunities</t>
  </si>
  <si>
    <t>Probability-weighted upside</t>
  </si>
  <si>
    <t>Weighted Risks</t>
  </si>
  <si>
    <t>Probability-weighted downside</t>
  </si>
  <si>
    <t>Base forecast plus management overlay</t>
  </si>
  <si>
    <t>Adjusted EBITDA Margin</t>
  </si>
  <si>
    <t>Adjusted EBITDA / forecast revenue</t>
  </si>
  <si>
    <t>Automated Management Commentary — FY2026</t>
  </si>
  <si>
    <t>Executive performance</t>
  </si>
  <si>
    <t>Revenue &amp; margin drivers</t>
  </si>
  <si>
    <t>Risks &amp; opportunities</t>
  </si>
  <si>
    <t>Working capital &amp; liquidity</t>
  </si>
  <si>
    <t>People, capex &amp; investment</t>
  </si>
  <si>
    <t>Management focus areas</t>
  </si>
  <si>
    <t>Priority</t>
  </si>
  <si>
    <t>Focus Area</t>
  </si>
  <si>
    <t>Trigger / Evidence</t>
  </si>
  <si>
    <t>Action</t>
  </si>
  <si>
    <t>Revenue quality</t>
  </si>
  <si>
    <t>Negative mix or volume contribution</t>
  </si>
  <si>
    <t>Protect high-margin mix and close identified demand gaps</t>
  </si>
  <si>
    <t>Margin protection</t>
  </si>
  <si>
    <t>Adverse unit-cost effect</t>
  </si>
  <si>
    <t>Execute supplier actions and validate cost inflation assumptions</t>
  </si>
  <si>
    <t>Working capital</t>
  </si>
  <si>
    <t>CCC deterioration or cash below policy</t>
  </si>
  <si>
    <t>Accelerate collections and review inventory commitments</t>
  </si>
  <si>
    <t>R&amp;O conversion</t>
  </si>
  <si>
    <t>Open opportunities not yet embedded</t>
  </si>
  <si>
    <t>Assign owners and convert high-probability upside into forecast</t>
  </si>
  <si>
    <t>Capital discipline</t>
  </si>
  <si>
    <t>Material capex or weak project economics</t>
  </si>
  <si>
    <t>Stage-gate capital releases against NPV/IRR thresholds</t>
  </si>
  <si>
    <t>Northstar Consumer Brands Ltd — CFO Monthly Management Pack</t>
  </si>
  <si>
    <t>EBITDA vs Budget</t>
  </si>
  <si>
    <t>Executive summary</t>
  </si>
  <si>
    <t>Performance vs Budget (£000)</t>
  </si>
  <si>
    <t>Revenue variance drivers (£000)</t>
  </si>
  <si>
    <t>Variance</t>
  </si>
  <si>
    <t>Variance %</t>
  </si>
  <si>
    <t>Effect</t>
  </si>
  <si>
    <t>EBITDA Margin</t>
  </si>
  <si>
    <t>Risks &amp; Opportunities (£000 EBITDA)</t>
  </si>
  <si>
    <t>Vs Budget</t>
  </si>
  <si>
    <t>Base Forecast</t>
  </si>
  <si>
    <t>Operational forecast</t>
  </si>
  <si>
    <t>Potential upside</t>
  </si>
  <si>
    <t>Potential downside</t>
  </si>
  <si>
    <t>Adjusted Outlook</t>
  </si>
  <si>
    <t>Management view</t>
  </si>
  <si>
    <t>Cash, working capital &amp; operating capacity</t>
  </si>
  <si>
    <t>Current / Forecast</t>
  </si>
  <si>
    <t>Comparator</t>
  </si>
  <si>
    <t>Sep Cash Conversion Cycle</t>
  </si>
  <si>
    <t>Capital investment business case</t>
  </si>
  <si>
    <t>Threshold</t>
  </si>
  <si>
    <t>Decision signal</t>
  </si>
  <si>
    <t>Minimum Cash Policy</t>
  </si>
  <si>
    <t>Policy floor</t>
  </si>
  <si>
    <t>Return above hurdle</t>
  </si>
  <si>
    <t>Year-end</t>
  </si>
  <si>
    <t>Payback</t>
  </si>
  <si>
    <t>Capital recovery</t>
  </si>
  <si>
    <t>Capital plan</t>
  </si>
  <si>
    <t>NPV &gt; 0 &amp; IRR &gt; WACC</t>
  </si>
  <si>
    <t>Model output</t>
  </si>
  <si>
    <t>CFO priority actions</t>
  </si>
  <si>
    <t>Management commentary</t>
  </si>
  <si>
    <t>Evidence</t>
  </si>
  <si>
    <t>Convert high-probability opportunities into the committed forecast</t>
  </si>
  <si>
    <t>CFO / Commercial</t>
  </si>
  <si>
    <t>Immediate</t>
  </si>
  <si>
    <t>Open R&amp;O register</t>
  </si>
  <si>
    <t>Protect gross margin through procurement and product-mix actions</t>
  </si>
  <si>
    <t>Procurement / Commercial</t>
  </si>
  <si>
    <t>Q4</t>
  </si>
  <si>
    <t>PVM and unit-cost bridge</t>
  </si>
  <si>
    <t>Maintain liquidity headroom and manage collections discipline</t>
  </si>
  <si>
    <t>Finance / Credit Control</t>
  </si>
  <si>
    <t>Weekly</t>
  </si>
  <si>
    <t>13-week cash forecast</t>
  </si>
  <si>
    <t>Stage capital releases against business-case thresholds</t>
  </si>
  <si>
    <t>Monthly</t>
  </si>
  <si>
    <t>NPV / IRR appraisal</t>
  </si>
  <si>
    <t>Hold headcount additions to approved plan unless supported by upside case</t>
  </si>
  <si>
    <t>HR / Finance</t>
  </si>
  <si>
    <t>Headcount plan</t>
  </si>
  <si>
    <t>FP&amp;A Portfolio Project — Recruiter Summary</t>
  </si>
  <si>
    <t>Northstar Consumer Brands Ltd | Independent synthetic case study | Final portfolio release</t>
  </si>
  <si>
    <t>Project objective</t>
  </si>
  <si>
    <t>Built an end-to-end FP&amp;A operating model for a simulated multi-division UK consumer business, linking operating drivers to budgets, rolling forecasts, working capital, liquidity, investment decisions and CFO-level management reporting. The project is designed to demonstrate practical finance-analysis judgement rather than tutorial completion.</t>
  </si>
  <si>
    <t>Core capabilities demonstrated</t>
  </si>
  <si>
    <t>Key portfolio outputs</t>
  </si>
  <si>
    <t>Budgeting &amp; Forecasting</t>
  </si>
  <si>
    <t>Driver-based FY2026 operating plan and rolling forecast</t>
  </si>
  <si>
    <t>Budget vs forecast plus Price–Volume–Mix decomposition</t>
  </si>
  <si>
    <t>Scenario Planning</t>
  </si>
  <si>
    <t>Base / Upside / Downside Q4 operating assumptions</t>
  </si>
  <si>
    <t>Management Accounting</t>
  </si>
  <si>
    <t>Payroll, operating costs, capex and depreciation schedules</t>
  </si>
  <si>
    <t>DSO, DPO, inventory days, CCC and free cash flow</t>
  </si>
  <si>
    <t>Liquidity</t>
  </si>
  <si>
    <t>13-week cash forecast and minimum-cash policy monitoring</t>
  </si>
  <si>
    <t>Year-end Headcount</t>
  </si>
  <si>
    <t>Capital Allocation</t>
  </si>
  <si>
    <t>NPV, IRR, payback and sensitivity analysis</t>
  </si>
  <si>
    <t>Business Partnering</t>
  </si>
  <si>
    <t>R&amp;O register, management commentary and CFO action priorities</t>
  </si>
  <si>
    <t>Investment NPV</t>
  </si>
  <si>
    <t>Key analytical findings from the Base scenario</t>
  </si>
  <si>
    <t>Revenue outlook</t>
  </si>
  <si>
    <t>FY2026 revenue is forecast at approximately £68.4m, around £0.3m below budget.</t>
  </si>
  <si>
    <t>PVM bridge</t>
  </si>
  <si>
    <t>The revenue shortfall is primarily explained by adverse volume and price, partly offset by favourable portfolio mix.</t>
  </si>
  <si>
    <t>Profitability</t>
  </si>
  <si>
    <t>Despite lower revenue, forecast EBITDA is above budget because the detailed payroll plan materially improves the cost base versus the original budget assumption.</t>
  </si>
  <si>
    <t>Cash conversion cycle improves from September actual to the December forecast under the Base scenario.</t>
  </si>
  <si>
    <t>The 13-week cash model remains above the minimum cash-policy threshold throughout the Q4 forecast.</t>
  </si>
  <si>
    <t>The illustrative warehouse automation investment produces positive NPV, IRR above WACC and a sub-five-year payback.</t>
  </si>
  <si>
    <t>Recruiter-safe project description</t>
  </si>
  <si>
    <t>Independent FP&amp;A case study for a simulated UK consumer company. Built a driver-based operating plan, rolling forecast and scenario model covering revenue, COGS, payroll, working capital, capex and cash flow. Extended the model with Price–Volume–Mix analysis, a 13-week cash forecast, probability-weighted Risks &amp; Opportunities, investment appraisal and a CFO-style management pack. All financial data is synthetic and used solely to demonstrate finance modelling, analysis and business-partnering capability.</t>
  </si>
  <si>
    <t>Workbook navigation</t>
  </si>
  <si>
    <t>Executive KPI dashboard</t>
  </si>
  <si>
    <t>How to review this project:
1. Start with Portfolio Summary.
2. Open Dashboard and Management Pack.
3. Review PVM Analysis and Risks &amp; Opportunities for driver-based insight.
4. Review Working Capital / 13-Week Cash Forecast for liquidity planning.
5. Review Investment Appraisal for capital-allocation logic.
Important: this is a synthetic case study, not a claim of work performed for a real company.</t>
  </si>
  <si>
    <t>CFO-style reporting pack and priority actions</t>
  </si>
  <si>
    <t>Price, volume, mix and gross-profit bridges</t>
  </si>
  <si>
    <t>Probability-weighted forecast overlay</t>
  </si>
  <si>
    <t>DSO / DPO / inventory / CCC / FCF</t>
  </si>
  <si>
    <t>Weekly liquidity model</t>
  </si>
  <si>
    <t>NPV / IRR / payback / sensitivity</t>
  </si>
  <si>
    <t>Detailed workforce and payroll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</si>
</sst>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Red]\(0.0%\);\-"/>
    <numFmt numFmtId="165" formatCode="0.000\x"/>
    <numFmt numFmtId="166" formatCode="#,##0;[Red]\(#,##0\);\-"/>
    <numFmt numFmtId="167" formatCode="\£0.00;[Red]\(\£0.00\);\-"/>
    <numFmt numFmtId="168" formatCode="\£#,##0.0;[Red]\(\£#,##0.0\);\-"/>
    <numFmt numFmtId="169" formatCode="mmm"/>
    <numFmt numFmtId="170" formatCode="\£#,##0;[Red]\(\£#,##0\);\-"/>
    <numFmt numFmtId="171" formatCode="0.0%"/>
    <numFmt numFmtId="172" formatCode="\£0.0"/>
    <numFmt numFmtId="173" formatCode="0.0"/>
    <numFmt numFmtId="174" formatCode="dd\-mmm\-yy"/>
    <numFmt numFmtId="175" formatCode="dd\-mmm"/>
  </numFmts>
  <fonts count="15">
    <font>
      <sz val="11"/>
      <name val="Carlito"/>
    </font>
    <font>
      <b/>
      <sz val="16"/>
      <color rgb="FFFFFFFF"/>
      <name val="Aptos"/>
    </font>
    <font>
      <sz val="11"/>
      <name val="Aptos"/>
    </font>
    <font>
      <i/>
      <sz val="11"/>
      <color rgb="FF17365D"/>
      <name val="Aptos"/>
    </font>
    <font>
      <b/>
      <sz val="11"/>
      <color rgb="FFFFFFFF"/>
      <name val="Aptos"/>
    </font>
    <font>
      <b/>
      <sz val="11"/>
      <color rgb="FF17365D"/>
      <name val="Aptos"/>
    </font>
    <font>
      <b/>
      <sz val="11"/>
      <color rgb="FF0000FF"/>
      <name val="Aptos"/>
    </font>
    <font>
      <sz val="11"/>
      <color rgb="FF0000FF"/>
      <name val="Aptos"/>
    </font>
    <font>
      <sz val="11"/>
      <color rgb="FF000000"/>
      <name val="Aptos"/>
    </font>
    <font>
      <sz val="11"/>
      <color rgb="FF008000"/>
      <name val="Aptos"/>
    </font>
    <font>
      <b/>
      <sz val="11"/>
      <color rgb="FF008000"/>
      <name val="Aptos"/>
    </font>
    <font>
      <b/>
      <sz val="16"/>
      <color rgb="FF008000"/>
      <name val="Aptos"/>
    </font>
    <font>
      <b/>
      <sz val="11"/>
      <color rgb="FF000000"/>
      <name val="Aptos"/>
    </font>
    <font>
      <sz val="10"/>
      <name val="Aptos"/>
    </font>
    <font>
      <i/>
      <sz val="11"/>
      <color rgb="FF008000"/>
      <name val="Aptos"/>
    </font>
  </fonts>
  <fills count="25">
    <fill>
      <patternFill patternType="none"/>
    </fill>
    <fill>
      <patternFill patternType="gray125"/>
    </fill>
    <fill>
      <patternFill patternType="solid">
        <fgColor rgb="FF17365D"/>
      </patternFill>
    </fill>
    <fill>
      <patternFill patternType="solid">
        <fgColor rgb="FFEAF3F8"/>
      </patternFill>
    </fill>
    <fill>
      <patternFill patternType="solid">
        <fgColor rgb="FF1F4E78"/>
      </patternFill>
    </fill>
    <fill>
      <patternFill patternType="solid">
        <fgColor rgb="FFE2F0D9"/>
      </patternFill>
    </fill>
    <fill>
      <patternFill patternType="solid">
        <fgColor rgb="FFF2F2F2"/>
      </patternFill>
    </fill>
    <fill>
      <patternFill patternType="solid">
        <fgColor rgb="FFFFF2CC"/>
      </patternFill>
    </fill>
    <fill>
      <patternFill patternType="solid">
        <fgColor rgb="FF17365D"/>
      </patternFill>
    </fill>
    <fill>
      <patternFill patternType="solid">
        <fgColor rgb="FFF2F2F2"/>
      </patternFill>
    </fill>
    <fill>
      <patternFill patternType="solid">
        <fgColor rgb="FF1F4E78"/>
      </patternFill>
    </fill>
    <fill>
      <patternFill patternType="solid">
        <fgColor rgb="FFFFFF00"/>
      </patternFill>
    </fill>
    <fill>
      <patternFill patternType="solid">
        <fgColor rgb="FFE2F0D9"/>
      </patternFill>
    </fill>
    <fill>
      <patternFill patternType="solid">
        <fgColor rgb="FF17365D"/>
      </patternFill>
    </fill>
    <fill>
      <patternFill patternType="solid">
        <fgColor rgb="FFF2F2F2"/>
      </patternFill>
    </fill>
    <fill>
      <patternFill patternType="solid">
        <fgColor rgb="FF1F4E78"/>
      </patternFill>
    </fill>
    <fill>
      <patternFill patternType="solid">
        <fgColor rgb="FFEAF3F8"/>
      </patternFill>
    </fill>
    <fill>
      <patternFill patternType="solid">
        <fgColor rgb="FFE2F0D9"/>
      </patternFill>
    </fill>
    <fill>
      <patternFill patternType="solid">
        <fgColor rgb="FF17365D"/>
      </patternFill>
    </fill>
    <fill>
      <patternFill patternType="solid">
        <fgColor rgb="FFEAF3F8"/>
      </patternFill>
    </fill>
    <fill>
      <patternFill patternType="solid">
        <fgColor rgb="FF1F4E78"/>
      </patternFill>
    </fill>
    <fill>
      <patternFill patternType="solid">
        <fgColor rgb="FFF2F2F2"/>
      </patternFill>
    </fill>
    <fill>
      <patternFill patternType="solid">
        <fgColor rgb="FFD9EAF7"/>
      </patternFill>
    </fill>
    <fill>
      <patternFill patternType="solid">
        <fgColor rgb="FFE2F0D9"/>
      </patternFill>
    </fill>
    <fill>
      <patternFill patternType="solid">
        <fgColor rgb="FFFFF2CC"/>
      </patternFill>
    </fill>
  </fills>
  <borders count="2">
    <border>
      <left/>
      <right/>
      <top/>
      <bottom/>
      <diagonal/>
    </border>
    <border>
      <left/>
      <right/>
      <top style="thin">
        <color rgb="FF17365D"/>
      </top>
      <bottom/>
      <diagonal/>
    </border>
  </borders>
  <cellStyleXfs count="1">
    <xf numFmtId="0" fontId="0" fillId="0" borderId="0"/>
  </cellStyleXfs>
  <cellXfs count="118">
    <xf numFmtId="0" fontId="0" fillId="0" borderId="0" xfId="0"/>
    <xf numFmtId="0" fontId="2" fillId="0" borderId="0" xfId="0" applyFont="1"/>
    <xf numFmtId="0" fontId="4" fillId="4" borderId="0" xfId="0" applyFont="1" applyFill="1" applyAlignment="1">
      <alignment horizontal="left" vertical="center"/>
    </xf>
    <xf numFmtId="0" fontId="5" fillId="0" borderId="0" xfId="0" applyFont="1" applyAlignment="1">
      <alignment wrapText="1"/>
    </xf>
    <xf numFmtId="0" fontId="2" fillId="0" borderId="0" xfId="0" applyFont="1" applyAlignment="1">
      <alignment wrapText="1"/>
    </xf>
    <xf numFmtId="0" fontId="5" fillId="0" borderId="0" xfId="0" applyFont="1"/>
    <xf numFmtId="0" fontId="6" fillId="7" borderId="0" xfId="0" applyFont="1" applyFill="1"/>
    <xf numFmtId="0" fontId="4" fillId="4" borderId="0" xfId="0" applyFont="1" applyFill="1" applyAlignment="1">
      <alignment horizontal="center" vertical="center" wrapText="1"/>
    </xf>
    <xf numFmtId="0" fontId="7" fillId="0" borderId="0" xfId="0" applyFont="1"/>
    <xf numFmtId="165" fontId="7" fillId="0" borderId="0" xfId="0" applyNumberFormat="1" applyFont="1"/>
    <xf numFmtId="165" fontId="8" fillId="0" borderId="0" xfId="0" applyNumberFormat="1" applyFont="1"/>
    <xf numFmtId="164" fontId="7" fillId="0" borderId="0" xfId="0" applyNumberFormat="1" applyFont="1"/>
    <xf numFmtId="17" fontId="7" fillId="0" borderId="0" xfId="0" applyNumberFormat="1" applyFont="1"/>
    <xf numFmtId="166" fontId="7" fillId="0" borderId="0" xfId="0" applyNumberFormat="1" applyFont="1"/>
    <xf numFmtId="167" fontId="7" fillId="0" borderId="0" xfId="0" applyNumberFormat="1" applyFont="1"/>
    <xf numFmtId="168" fontId="8" fillId="0" borderId="0" xfId="0" applyNumberFormat="1" applyFont="1"/>
    <xf numFmtId="164" fontId="8" fillId="0" borderId="0" xfId="0" applyNumberFormat="1" applyFont="1"/>
    <xf numFmtId="168" fontId="7" fillId="0" borderId="0" xfId="0" applyNumberFormat="1" applyFont="1"/>
    <xf numFmtId="166" fontId="9" fillId="0" borderId="0" xfId="0" applyNumberFormat="1" applyFont="1"/>
    <xf numFmtId="167" fontId="9" fillId="0" borderId="0" xfId="0" applyNumberFormat="1" applyFont="1"/>
    <xf numFmtId="168" fontId="9" fillId="0" borderId="0" xfId="0" applyNumberFormat="1" applyFont="1"/>
    <xf numFmtId="17" fontId="7" fillId="3" borderId="0" xfId="0" applyNumberFormat="1" applyFont="1" applyFill="1"/>
    <xf numFmtId="0" fontId="7" fillId="3" borderId="0" xfId="0" applyFont="1" applyFill="1"/>
    <xf numFmtId="166" fontId="9" fillId="3" borderId="0" xfId="0" applyNumberFormat="1" applyFont="1" applyFill="1"/>
    <xf numFmtId="167" fontId="9" fillId="3" borderId="0" xfId="0" applyNumberFormat="1" applyFont="1" applyFill="1"/>
    <xf numFmtId="168" fontId="8" fillId="3" borderId="0" xfId="0" applyNumberFormat="1" applyFont="1" applyFill="1"/>
    <xf numFmtId="164" fontId="8" fillId="3" borderId="0" xfId="0" applyNumberFormat="1" applyFont="1" applyFill="1"/>
    <xf numFmtId="168" fontId="9" fillId="3" borderId="0" xfId="0" applyNumberFormat="1" applyFont="1" applyFill="1"/>
    <xf numFmtId="0" fontId="9" fillId="3" borderId="0" xfId="0" applyFont="1" applyFill="1"/>
    <xf numFmtId="17" fontId="2" fillId="0" borderId="0" xfId="0" applyNumberFormat="1" applyFont="1"/>
    <xf numFmtId="164" fontId="9" fillId="0" borderId="0" xfId="0" applyNumberFormat="1" applyFont="1"/>
    <xf numFmtId="168" fontId="2" fillId="0" borderId="0" xfId="0" applyNumberFormat="1" applyFont="1"/>
    <xf numFmtId="169" fontId="2" fillId="0" borderId="0" xfId="0" applyNumberFormat="1" applyFont="1"/>
    <xf numFmtId="170" fontId="9" fillId="0" borderId="0" xfId="0" applyNumberFormat="1" applyFont="1"/>
    <xf numFmtId="169" fontId="4" fillId="4" borderId="0" xfId="0" applyNumberFormat="1" applyFont="1" applyFill="1" applyAlignment="1">
      <alignment horizontal="center" vertical="center" wrapText="1"/>
    </xf>
    <xf numFmtId="168" fontId="4" fillId="4" borderId="0" xfId="0" applyNumberFormat="1" applyFont="1" applyFill="1" applyAlignment="1">
      <alignment horizontal="center" vertical="center" wrapText="1"/>
    </xf>
    <xf numFmtId="0" fontId="5" fillId="3" borderId="0" xfId="0" applyFont="1" applyFill="1" applyAlignment="1">
      <alignment horizontal="center" vertical="center"/>
    </xf>
    <xf numFmtId="0" fontId="4" fillId="10" borderId="0" xfId="0" applyFont="1" applyFill="1"/>
    <xf numFmtId="0" fontId="4" fillId="10" borderId="0" xfId="0" applyFont="1" applyFill="1" applyAlignment="1">
      <alignment horizontal="center" vertical="center" wrapText="1"/>
    </xf>
    <xf numFmtId="164" fontId="6" fillId="11" borderId="0" xfId="0" applyNumberFormat="1" applyFont="1" applyFill="1"/>
    <xf numFmtId="172" fontId="7" fillId="0" borderId="0" xfId="0" applyNumberFormat="1" applyFont="1"/>
    <xf numFmtId="166" fontId="2" fillId="0" borderId="0" xfId="0" applyNumberFormat="1" applyFont="1"/>
    <xf numFmtId="170" fontId="7" fillId="0" borderId="0" xfId="0" applyNumberFormat="1" applyFont="1"/>
    <xf numFmtId="173" fontId="7" fillId="0" borderId="0" xfId="0" applyNumberFormat="1" applyFont="1"/>
    <xf numFmtId="0" fontId="7" fillId="0" borderId="0" xfId="0" applyFont="1" applyAlignment="1">
      <alignment wrapText="1"/>
    </xf>
    <xf numFmtId="173" fontId="8" fillId="0" borderId="0" xfId="0" applyNumberFormat="1" applyFont="1"/>
    <xf numFmtId="173" fontId="9" fillId="0" borderId="0" xfId="0" applyNumberFormat="1" applyFont="1"/>
    <xf numFmtId="173" fontId="2" fillId="0" borderId="0" xfId="0" applyNumberFormat="1" applyFont="1"/>
    <xf numFmtId="170" fontId="6" fillId="11" borderId="0" xfId="0" applyNumberFormat="1" applyFont="1" applyFill="1"/>
    <xf numFmtId="174" fontId="2" fillId="0" borderId="0" xfId="0" applyNumberFormat="1" applyFont="1"/>
    <xf numFmtId="175" fontId="9" fillId="0" borderId="0" xfId="0" applyNumberFormat="1" applyFont="1"/>
    <xf numFmtId="175" fontId="2" fillId="0" borderId="0" xfId="0" applyNumberFormat="1" applyFont="1"/>
    <xf numFmtId="168" fontId="12" fillId="0" borderId="0" xfId="0" applyNumberFormat="1" applyFont="1"/>
    <xf numFmtId="0" fontId="6" fillId="0" borderId="0" xfId="0" applyFont="1"/>
    <xf numFmtId="164" fontId="12" fillId="0" borderId="0" xfId="0" applyNumberFormat="1" applyFont="1"/>
    <xf numFmtId="0" fontId="12" fillId="0" borderId="0" xfId="0" applyFont="1"/>
    <xf numFmtId="0" fontId="4" fillId="15" borderId="0" xfId="0" applyFont="1" applyFill="1"/>
    <xf numFmtId="0" fontId="4" fillId="15" borderId="0" xfId="0" applyFont="1" applyFill="1" applyAlignment="1">
      <alignment horizontal="left" vertical="center"/>
    </xf>
    <xf numFmtId="0" fontId="4" fillId="15" borderId="0" xfId="0" applyFont="1" applyFill="1" applyAlignment="1">
      <alignment horizontal="center" vertical="center" wrapText="1"/>
    </xf>
    <xf numFmtId="166" fontId="8" fillId="0" borderId="0" xfId="0" applyNumberFormat="1" applyFont="1"/>
    <xf numFmtId="167" fontId="8" fillId="0" borderId="0" xfId="0" applyNumberFormat="1" applyFont="1"/>
    <xf numFmtId="0" fontId="12" fillId="16" borderId="1" xfId="0" applyFont="1" applyFill="1" applyBorder="1"/>
    <xf numFmtId="166" fontId="12" fillId="16" borderId="1" xfId="0" applyNumberFormat="1" applyFont="1" applyFill="1" applyBorder="1"/>
    <xf numFmtId="164" fontId="12" fillId="16" borderId="1" xfId="0" applyNumberFormat="1" applyFont="1" applyFill="1" applyBorder="1"/>
    <xf numFmtId="167" fontId="12" fillId="16" borderId="1" xfId="0" applyNumberFormat="1" applyFont="1" applyFill="1" applyBorder="1"/>
    <xf numFmtId="168" fontId="12" fillId="16" borderId="1" xfId="0" applyNumberFormat="1" applyFont="1" applyFill="1" applyBorder="1"/>
    <xf numFmtId="167" fontId="2" fillId="0" borderId="0" xfId="0" applyNumberFormat="1" applyFont="1"/>
    <xf numFmtId="164" fontId="2" fillId="0" borderId="0" xfId="0" applyNumberFormat="1" applyFont="1"/>
    <xf numFmtId="0" fontId="8" fillId="0" borderId="0" xfId="0" applyFont="1"/>
    <xf numFmtId="1" fontId="2" fillId="0" borderId="0" xfId="0" applyNumberFormat="1" applyFont="1" applyAlignment="1">
      <alignment wrapText="1"/>
    </xf>
    <xf numFmtId="0" fontId="5" fillId="19" borderId="0" xfId="0" applyFont="1" applyFill="1"/>
    <xf numFmtId="0" fontId="5" fillId="22" borderId="0" xfId="0" applyFont="1" applyFill="1"/>
    <xf numFmtId="170" fontId="10" fillId="0" borderId="0" xfId="0" applyNumberFormat="1" applyFont="1"/>
    <xf numFmtId="171" fontId="10" fillId="0" borderId="0" xfId="0" applyNumberFormat="1" applyFont="1"/>
    <xf numFmtId="3" fontId="10" fillId="0" borderId="0" xfId="0" applyNumberFormat="1" applyFont="1"/>
    <xf numFmtId="0" fontId="1" fillId="18" borderId="0" xfId="0" applyFont="1" applyFill="1" applyAlignment="1">
      <alignment horizontal="left" vertical="center"/>
    </xf>
    <xf numFmtId="0" fontId="3" fillId="19" borderId="0" xfId="0" applyFont="1" applyFill="1"/>
    <xf numFmtId="0" fontId="4" fillId="20" borderId="0" xfId="0" applyFont="1" applyFill="1" applyAlignment="1">
      <alignment horizontal="left" vertical="center"/>
    </xf>
    <xf numFmtId="0" fontId="2" fillId="21" borderId="0" xfId="0" applyFont="1" applyFill="1" applyAlignment="1">
      <alignment vertical="top" wrapText="1"/>
    </xf>
    <xf numFmtId="0" fontId="2" fillId="0" borderId="0" xfId="0" applyFont="1" applyAlignment="1">
      <alignment wrapText="1"/>
    </xf>
    <xf numFmtId="0" fontId="2" fillId="0" borderId="0" xfId="0" applyFont="1" applyAlignment="1">
      <alignment vertical="center" wrapText="1"/>
    </xf>
    <xf numFmtId="0" fontId="2" fillId="23" borderId="0" xfId="0" applyFont="1" applyFill="1" applyAlignment="1">
      <alignment vertical="top" wrapText="1"/>
    </xf>
    <xf numFmtId="0" fontId="2" fillId="24" borderId="0" xfId="0" applyFont="1" applyFill="1" applyAlignment="1">
      <alignment vertical="top" wrapText="1"/>
    </xf>
    <xf numFmtId="0" fontId="1" fillId="2" borderId="0" xfId="0" applyFont="1" applyFill="1" applyAlignment="1">
      <alignment horizontal="left" vertical="center"/>
    </xf>
    <xf numFmtId="0" fontId="3" fillId="3" borderId="0" xfId="0" applyFont="1" applyFill="1"/>
    <xf numFmtId="0" fontId="4" fillId="4" borderId="0" xfId="0" applyFont="1" applyFill="1" applyAlignment="1">
      <alignment horizontal="left" vertical="center"/>
    </xf>
    <xf numFmtId="0" fontId="2" fillId="0" borderId="0" xfId="0" applyFont="1" applyAlignment="1">
      <alignment vertical="top" wrapText="1"/>
    </xf>
    <xf numFmtId="0" fontId="4" fillId="15" borderId="0" xfId="0" applyFont="1" applyFill="1" applyAlignment="1">
      <alignment horizontal="left" vertical="center"/>
    </xf>
    <xf numFmtId="0" fontId="2" fillId="17" borderId="0" xfId="0" applyFont="1" applyFill="1" applyAlignment="1">
      <alignment vertical="top" wrapText="1"/>
    </xf>
    <xf numFmtId="0" fontId="2" fillId="5" borderId="0" xfId="0" applyFont="1" applyFill="1" applyAlignment="1">
      <alignment vertical="top" wrapText="1"/>
    </xf>
    <xf numFmtId="0" fontId="4" fillId="10" borderId="0" xfId="0" applyFont="1" applyFill="1" applyAlignment="1">
      <alignment horizontal="left" vertical="center"/>
    </xf>
    <xf numFmtId="0" fontId="2" fillId="12" borderId="0" xfId="0" applyFont="1" applyFill="1" applyAlignment="1">
      <alignment vertical="top" wrapText="1"/>
    </xf>
    <xf numFmtId="0" fontId="3" fillId="6" borderId="0" xfId="0" applyFont="1" applyFill="1"/>
    <xf numFmtId="0" fontId="10" fillId="3" borderId="0" xfId="0" applyFont="1" applyFill="1" applyAlignment="1">
      <alignment horizontal="left"/>
    </xf>
    <xf numFmtId="0" fontId="4" fillId="4" borderId="0" xfId="0" applyFont="1" applyFill="1" applyAlignment="1">
      <alignment horizontal="center" vertical="center"/>
    </xf>
    <xf numFmtId="168" fontId="4" fillId="4" borderId="0" xfId="0" applyNumberFormat="1" applyFont="1" applyFill="1" applyAlignment="1">
      <alignment horizontal="center" vertical="center"/>
    </xf>
    <xf numFmtId="170" fontId="11" fillId="6" borderId="0" xfId="0" applyNumberFormat="1" applyFont="1" applyFill="1" applyAlignment="1">
      <alignment horizontal="center" vertical="center"/>
    </xf>
    <xf numFmtId="168" fontId="11" fillId="6" borderId="0" xfId="0" applyNumberFormat="1" applyFont="1" applyFill="1" applyAlignment="1">
      <alignment horizontal="center" vertical="center"/>
    </xf>
    <xf numFmtId="171" fontId="11" fillId="6" borderId="0" xfId="0" applyNumberFormat="1" applyFont="1" applyFill="1" applyAlignment="1">
      <alignment horizontal="center" vertical="center"/>
    </xf>
    <xf numFmtId="164" fontId="11" fillId="6" borderId="0" xfId="0" applyNumberFormat="1" applyFont="1" applyFill="1" applyAlignment="1">
      <alignment horizontal="center" vertical="center"/>
    </xf>
    <xf numFmtId="169" fontId="4" fillId="4" borderId="0" xfId="0" applyNumberFormat="1" applyFont="1" applyFill="1" applyAlignment="1">
      <alignment horizontal="left" vertical="center"/>
    </xf>
    <xf numFmtId="168" fontId="4" fillId="4" borderId="0" xfId="0" applyNumberFormat="1" applyFont="1" applyFill="1" applyAlignment="1">
      <alignment horizontal="left" vertical="center"/>
    </xf>
    <xf numFmtId="0" fontId="4" fillId="10" borderId="0" xfId="0" applyFont="1" applyFill="1" applyAlignment="1">
      <alignment horizontal="center" vertical="center"/>
    </xf>
    <xf numFmtId="166" fontId="11" fillId="9" borderId="0" xfId="0" applyNumberFormat="1" applyFont="1" applyFill="1" applyAlignment="1">
      <alignment horizontal="center" vertical="center"/>
    </xf>
    <xf numFmtId="0" fontId="11" fillId="9" borderId="0" xfId="0" applyFont="1" applyFill="1" applyAlignment="1">
      <alignment horizontal="center" vertical="center"/>
    </xf>
    <xf numFmtId="170" fontId="11" fillId="9" borderId="0" xfId="0" applyNumberFormat="1" applyFont="1" applyFill="1" applyAlignment="1">
      <alignment horizontal="center" vertical="center"/>
    </xf>
    <xf numFmtId="173" fontId="11" fillId="9" borderId="0" xfId="0" applyNumberFormat="1" applyFont="1" applyFill="1" applyAlignment="1">
      <alignment horizontal="center" vertical="center"/>
    </xf>
    <xf numFmtId="0" fontId="4" fillId="15" borderId="0" xfId="0" applyFont="1" applyFill="1" applyAlignment="1">
      <alignment horizontal="center" vertical="center"/>
    </xf>
    <xf numFmtId="170" fontId="11" fillId="14" borderId="0" xfId="0" applyNumberFormat="1" applyFont="1" applyFill="1" applyAlignment="1">
      <alignment horizontal="center" vertical="center"/>
    </xf>
    <xf numFmtId="0" fontId="11" fillId="14" borderId="0" xfId="0" applyFont="1" applyFill="1" applyAlignment="1">
      <alignment horizontal="center" vertical="center"/>
    </xf>
    <xf numFmtId="0" fontId="14" fillId="16" borderId="0" xfId="0" applyFont="1" applyFill="1"/>
    <xf numFmtId="0" fontId="1" fillId="8" borderId="0" xfId="0" applyFont="1" applyFill="1" applyAlignment="1">
      <alignment horizontal="left" vertical="center"/>
    </xf>
    <xf numFmtId="0" fontId="3" fillId="9" borderId="0" xfId="0" applyFont="1" applyFill="1"/>
    <xf numFmtId="0" fontId="1" fillId="13" borderId="0" xfId="0" applyFont="1" applyFill="1" applyAlignment="1">
      <alignment horizontal="left" vertical="center"/>
    </xf>
    <xf numFmtId="0" fontId="3" fillId="14" borderId="0" xfId="0" applyFont="1" applyFill="1"/>
    <xf numFmtId="0" fontId="10" fillId="16" borderId="0" xfId="0" applyFont="1" applyFill="1"/>
    <xf numFmtId="0" fontId="8" fillId="14" borderId="0" xfId="0" applyFont="1" applyFill="1" applyAlignment="1">
      <alignment vertical="top" wrapText="1"/>
    </xf>
    <xf numFmtId="0" fontId="13" fillId="14" borderId="0" xfId="0" applyFont="1" applyFill="1" applyAlignment="1">
      <alignment vertical="top" wrapText="1"/>
    </xf>
  </cellXfs>
  <cellStyles count="1">
    <cellStyle name="Normal" xfId="0" builtinId="0"/>
  </cellStyles>
  <dxfs count="38">
    <dxf>
      <font>
        <b/>
        <sz val="16"/>
        <color rgb="FF008000"/>
      </font>
      <fill>
        <patternFill>
          <bgColor rgb="FFE2F0D9"/>
        </patternFill>
      </fill>
    </dxf>
    <dxf>
      <font>
        <b/>
        <sz val="16"/>
        <color rgb="FFC00000"/>
      </font>
      <fill>
        <patternFill>
          <bgColor rgb="FFFCE4D6"/>
        </patternFill>
      </fill>
    </dxf>
    <dxf>
      <fill>
        <patternFill>
          <bgColor rgb="FFEAF3F8"/>
        </patternFill>
      </fill>
    </dxf>
    <dxf>
      <fill>
        <patternFill>
          <bgColor rgb="FFE2F0D9"/>
        </patternFill>
      </fill>
    </dxf>
    <dxf>
      <fill>
        <patternFill>
          <bgColor rgb="FFFFF2CC"/>
        </patternFill>
      </fill>
    </dxf>
    <dxf>
      <fill>
        <patternFill>
          <bgColor rgb="FFE2F0D9"/>
        </patternFill>
      </fill>
    </dxf>
    <dxf>
      <font>
        <color rgb="FFC00000"/>
      </font>
      <fill>
        <patternFill>
          <bgColor rgb="FFFCE4D6"/>
        </patternFill>
      </fill>
    </dxf>
    <dxf>
      <fill>
        <patternFill>
          <bgColor rgb="FFE2F0D9"/>
        </patternFill>
      </fill>
    </dxf>
    <dxf>
      <font>
        <color rgb="FFC00000"/>
      </font>
      <fill>
        <patternFill>
          <bgColor rgb="FFFCE4D6"/>
        </patternFill>
      </fill>
    </dxf>
    <dxf>
      <fill>
        <patternFill>
          <bgColor rgb="FFEAF3F8"/>
        </patternFill>
      </fill>
    </dxf>
    <dxf>
      <fill>
        <patternFill>
          <bgColor rgb="FFE2F0D9"/>
        </patternFill>
      </fill>
    </dxf>
    <dxf>
      <fill>
        <patternFill>
          <bgColor rgb="FFFFF2CC"/>
        </patternFill>
      </fill>
    </dxf>
    <dxf>
      <fill>
        <patternFill>
          <bgColor rgb="FFE2F0D9"/>
        </patternFill>
      </fill>
    </dxf>
    <dxf>
      <font>
        <color rgb="FFC00000"/>
      </font>
      <fill>
        <patternFill>
          <bgColor rgb="FFFCE4D6"/>
        </patternFill>
      </fill>
    </dxf>
    <dxf>
      <fill>
        <patternFill>
          <bgColor rgb="FFE2F0D9"/>
        </patternFill>
      </fill>
    </dxf>
    <dxf>
      <font>
        <color rgb="FFC00000"/>
      </font>
      <fill>
        <patternFill>
          <bgColor rgb="FFFCE4D6"/>
        </patternFill>
      </fill>
    </dxf>
    <dxf>
      <font>
        <color rgb="FFC00000"/>
      </font>
      <fill>
        <patternFill>
          <bgColor rgb="FFFCE4D6"/>
        </patternFill>
      </fill>
    </dxf>
    <dxf>
      <fill>
        <patternFill>
          <bgColor rgb="FFE2F0D9"/>
        </patternFill>
      </fill>
    </dxf>
    <dxf>
      <font>
        <color rgb="FFC00000"/>
      </font>
      <fill>
        <patternFill>
          <bgColor rgb="FFFCE4D6"/>
        </patternFill>
      </fill>
    </dxf>
    <dxf>
      <font>
        <color rgb="FFC00000"/>
      </font>
      <fill>
        <patternFill>
          <bgColor rgb="FFFCE4D6"/>
        </patternFill>
      </fill>
    </dxf>
    <dxf>
      <fill>
        <patternFill>
          <bgColor rgb="FFE2F0D9"/>
        </patternFill>
      </fill>
    </dxf>
    <dxf>
      <font>
        <color rgb="FFC00000"/>
      </font>
      <fill>
        <patternFill>
          <bgColor rgb="FFFCE4D6"/>
        </patternFill>
      </fill>
    </dxf>
    <dxf>
      <font>
        <color rgb="FFC00000"/>
      </font>
      <fill>
        <patternFill>
          <bgColor rgb="FFFCE4D6"/>
        </patternFill>
      </fill>
    </dxf>
    <dxf>
      <fill>
        <patternFill>
          <bgColor rgb="FFE2F0D9"/>
        </patternFill>
      </fill>
    </dxf>
    <dxf>
      <fill>
        <patternFill>
          <bgColor rgb="FFE2F0D9"/>
        </patternFill>
      </fill>
    </dxf>
    <dxf>
      <font>
        <b/>
        <color rgb="FFC00000"/>
      </font>
      <fill>
        <patternFill>
          <bgColor rgb="FFFCE4D6"/>
        </patternFill>
      </fill>
    </dxf>
    <dxf>
      <fill>
        <patternFill>
          <bgColor rgb="FFE2F0D9"/>
        </patternFill>
      </fill>
    </dxf>
    <dxf>
      <font>
        <color rgb="FFC00000"/>
      </font>
      <fill>
        <patternFill>
          <bgColor rgb="FFFCE4D6"/>
        </patternFill>
      </fill>
    </dxf>
    <dxf>
      <font>
        <b/>
        <sz val="16"/>
        <color rgb="FF008000"/>
      </font>
      <fill>
        <patternFill>
          <bgColor rgb="FFE2F0D9"/>
        </patternFill>
      </fill>
    </dxf>
    <dxf>
      <font>
        <b/>
        <sz val="16"/>
        <color rgb="FFC00000"/>
      </font>
      <fill>
        <patternFill>
          <bgColor rgb="FFFCE4D6"/>
        </patternFill>
      </fill>
    </dxf>
    <dxf>
      <font>
        <b/>
        <sz val="16"/>
        <color rgb="FF008000"/>
      </font>
      <fill>
        <patternFill>
          <bgColor rgb="FFE2F0D9"/>
        </patternFill>
      </fill>
    </dxf>
    <dxf>
      <font>
        <b/>
        <sz val="16"/>
        <color rgb="FFC00000"/>
      </font>
      <fill>
        <patternFill>
          <bgColor rgb="FFFCE4D6"/>
        </patternFill>
      </fill>
    </dxf>
    <dxf>
      <fill>
        <patternFill>
          <bgColor rgb="FFE2F0D9"/>
        </patternFill>
      </fill>
    </dxf>
    <dxf>
      <font>
        <color rgb="FFC00000"/>
      </font>
      <fill>
        <patternFill>
          <bgColor rgb="FFFCE4D6"/>
        </patternFill>
      </fill>
    </dxf>
    <dxf>
      <font>
        <color rgb="FFC00000"/>
      </font>
      <fill>
        <patternFill>
          <bgColor rgb="FFFCE4D6"/>
        </patternFill>
      </fill>
    </dxf>
    <dxf>
      <fill>
        <patternFill>
          <bgColor rgb="FFE2F0D9"/>
        </patternFill>
      </fill>
    </dxf>
    <dxf>
      <font>
        <color rgb="FFC00000"/>
      </font>
      <fill>
        <patternFill>
          <bgColor rgb="FFFCE4D6"/>
        </patternFill>
      </fill>
    </dxf>
    <dxf>
      <font>
        <color rgb="FFC00000"/>
      </font>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Revenue: Budget vs Rolling Forecast</a:t>
            </a:r>
          </a:p>
        </c:rich>
      </c:tx>
      <c:overlay val="1"/>
    </c:title>
    <c:autoTitleDeleted val="0"/>
    <c:plotArea>
      <c:layout/>
      <c:lineChart>
        <c:grouping val="standard"/>
        <c:varyColors val="0"/>
        <c:ser>
          <c:idx val="0"/>
          <c:order val="0"/>
          <c:tx>
            <c:v>Budget Revenue</c:v>
          </c:tx>
          <c:marker>
            <c:symbol val="none"/>
          </c:marker>
          <c:cat>
            <c:strRef>
              <c:f>Dashboard!$A$16:$A$27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Dashboard!$B$16:$B$27</c:f>
              <c:numCache>
                <c:formatCode>\£#,##0;[Red]\(\£#,##0\);\-</c:formatCode>
                <c:ptCount val="12"/>
                <c:pt idx="0">
                  <c:v>5159</c:v>
                </c:pt>
                <c:pt idx="1">
                  <c:v>5274</c:v>
                </c:pt>
                <c:pt idx="2">
                  <c:v>5497</c:v>
                </c:pt>
                <c:pt idx="3">
                  <c:v>5581</c:v>
                </c:pt>
                <c:pt idx="4">
                  <c:v>5628</c:v>
                </c:pt>
                <c:pt idx="5">
                  <c:v>5766</c:v>
                </c:pt>
                <c:pt idx="6">
                  <c:v>5963</c:v>
                </c:pt>
                <c:pt idx="7">
                  <c:v>5671</c:v>
                </c:pt>
                <c:pt idx="8">
                  <c:v>5539</c:v>
                </c:pt>
                <c:pt idx="9">
                  <c:v>5799</c:v>
                </c:pt>
                <c:pt idx="10">
                  <c:v>6203</c:v>
                </c:pt>
                <c:pt idx="11">
                  <c:v>6573</c:v>
                </c:pt>
              </c:numCache>
            </c:numRef>
          </c:val>
          <c:smooth val="1"/>
          <c:extLst>
            <c:ext xmlns:c16="http://schemas.microsoft.com/office/drawing/2014/chart" uri="{C3380CC4-5D6E-409C-BE32-E72D297353CC}">
              <c16:uniqueId val="{00000000-5005-7445-9DA7-49914011CABE}"/>
            </c:ext>
          </c:extLst>
        </c:ser>
        <c:ser>
          <c:idx val="1"/>
          <c:order val="1"/>
          <c:tx>
            <c:v>Forecast Revenue</c:v>
          </c:tx>
          <c:marker>
            <c:symbol val="none"/>
          </c:marker>
          <c:cat>
            <c:strRef>
              <c:f>Dashboard!$A$16:$A$27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Dashboard!$C$16:$C$27</c:f>
              <c:numCache>
                <c:formatCode>\£#,##0;[Red]\(\£#,##0\);\-</c:formatCode>
                <c:ptCount val="12"/>
                <c:pt idx="0">
                  <c:v>5111</c:v>
                </c:pt>
                <c:pt idx="1">
                  <c:v>5220</c:v>
                </c:pt>
                <c:pt idx="2">
                  <c:v>5544</c:v>
                </c:pt>
                <c:pt idx="3">
                  <c:v>5555</c:v>
                </c:pt>
                <c:pt idx="4">
                  <c:v>5552</c:v>
                </c:pt>
                <c:pt idx="5">
                  <c:v>5700</c:v>
                </c:pt>
                <c:pt idx="6">
                  <c:v>5899</c:v>
                </c:pt>
                <c:pt idx="7">
                  <c:v>5671</c:v>
                </c:pt>
                <c:pt idx="8">
                  <c:v>5529</c:v>
                </c:pt>
                <c:pt idx="9">
                  <c:v>5799</c:v>
                </c:pt>
                <c:pt idx="10">
                  <c:v>6203</c:v>
                </c:pt>
                <c:pt idx="11">
                  <c:v>6573</c:v>
                </c:pt>
              </c:numCache>
            </c:numRef>
          </c:val>
          <c:smooth val="1"/>
          <c:extLst>
            <c:ext xmlns:c16="http://schemas.microsoft.com/office/drawing/2014/chart" uri="{C3380CC4-5D6E-409C-BE32-E72D297353CC}">
              <c16:uniqueId val="{00000001-5005-7445-9DA7-49914011CABE}"/>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FY2026 Revenue by Division</a:t>
            </a:r>
          </a:p>
        </c:rich>
      </c:tx>
      <c:overlay val="1"/>
    </c:title>
    <c:autoTitleDeleted val="0"/>
    <c:plotArea>
      <c:layout/>
      <c:barChart>
        <c:barDir val="col"/>
        <c:grouping val="clustered"/>
        <c:varyColors val="0"/>
        <c:ser>
          <c:idx val="0"/>
          <c:order val="0"/>
          <c:tx>
            <c:v>Budget Revenue</c:v>
          </c:tx>
          <c:invertIfNegative val="1"/>
          <c:cat>
            <c:strRef>
              <c:f>Dashboard!$A$32:$A$36</c:f>
              <c:strCache>
                <c:ptCount val="5"/>
                <c:pt idx="0">
                  <c:v>Personal Care</c:v>
                </c:pt>
                <c:pt idx="1">
                  <c:v>Home Care</c:v>
                </c:pt>
                <c:pt idx="2">
                  <c:v>Nutrition &amp; Wellness</c:v>
                </c:pt>
                <c:pt idx="3">
                  <c:v>Baby &amp; Kids</c:v>
                </c:pt>
                <c:pt idx="4">
                  <c:v>Leisure &amp; Lifestyle</c:v>
                </c:pt>
              </c:strCache>
            </c:strRef>
          </c:cat>
          <c:val>
            <c:numRef>
              <c:f>Dashboard!$B$32:$B$36</c:f>
              <c:numCache>
                <c:formatCode>\£#,##0;[Red]\(\£#,##0\);\-</c:formatCode>
                <c:ptCount val="5"/>
                <c:pt idx="0">
                  <c:v>14399</c:v>
                </c:pt>
                <c:pt idx="1">
                  <c:v>13582</c:v>
                </c:pt>
                <c:pt idx="2">
                  <c:v>16044</c:v>
                </c:pt>
                <c:pt idx="3">
                  <c:v>11171</c:v>
                </c:pt>
                <c:pt idx="4">
                  <c:v>13458</c:v>
                </c:pt>
              </c:numCache>
            </c:numRef>
          </c:val>
          <c:extLst>
            <c:ext xmlns:c16="http://schemas.microsoft.com/office/drawing/2014/chart" uri="{C3380CC4-5D6E-409C-BE32-E72D297353CC}">
              <c16:uniqueId val="{00000000-8C35-6A45-8BAC-3B5D63CA0873}"/>
            </c:ext>
          </c:extLst>
        </c:ser>
        <c:ser>
          <c:idx val="1"/>
          <c:order val="1"/>
          <c:tx>
            <c:v>Forecast Revenue</c:v>
          </c:tx>
          <c:invertIfNegative val="1"/>
          <c:cat>
            <c:strRef>
              <c:f>Dashboard!$A$32:$A$36</c:f>
              <c:strCache>
                <c:ptCount val="5"/>
                <c:pt idx="0">
                  <c:v>Personal Care</c:v>
                </c:pt>
                <c:pt idx="1">
                  <c:v>Home Care</c:v>
                </c:pt>
                <c:pt idx="2">
                  <c:v>Nutrition &amp; Wellness</c:v>
                </c:pt>
                <c:pt idx="3">
                  <c:v>Baby &amp; Kids</c:v>
                </c:pt>
                <c:pt idx="4">
                  <c:v>Leisure &amp; Lifestyle</c:v>
                </c:pt>
              </c:strCache>
            </c:strRef>
          </c:cat>
          <c:val>
            <c:numRef>
              <c:f>Dashboard!$C$32:$C$36</c:f>
              <c:numCache>
                <c:formatCode>\£#,##0;[Red]\(\£#,##0\);\-</c:formatCode>
                <c:ptCount val="5"/>
                <c:pt idx="0">
                  <c:v>14213</c:v>
                </c:pt>
                <c:pt idx="1">
                  <c:v>13628</c:v>
                </c:pt>
                <c:pt idx="2">
                  <c:v>15756</c:v>
                </c:pt>
                <c:pt idx="3">
                  <c:v>11070</c:v>
                </c:pt>
                <c:pt idx="4">
                  <c:v>13687</c:v>
                </c:pt>
              </c:numCache>
            </c:numRef>
          </c:val>
          <c:extLst>
            <c:ext xmlns:c16="http://schemas.microsoft.com/office/drawing/2014/chart" uri="{C3380CC4-5D6E-409C-BE32-E72D297353CC}">
              <c16:uniqueId val="{00000001-8C35-6A45-8BAC-3B5D63CA087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EBITDA: Budget vs Rolling Forecast</a:t>
            </a:r>
          </a:p>
        </c:rich>
      </c:tx>
      <c:overlay val="1"/>
    </c:title>
    <c:autoTitleDeleted val="0"/>
    <c:plotArea>
      <c:layout/>
      <c:lineChart>
        <c:grouping val="standard"/>
        <c:varyColors val="0"/>
        <c:ser>
          <c:idx val="0"/>
          <c:order val="0"/>
          <c:tx>
            <c:v>Budget EBITDA</c:v>
          </c:tx>
          <c:marker>
            <c:symbol val="none"/>
          </c:marker>
          <c:cat>
            <c:strRef>
              <c:f>Dashboard!$A$41:$A$52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Dashboard!$B$41:$B$52</c:f>
              <c:numCache>
                <c:formatCode>\£#,##0;[Red]\(\£#,##0\);\-</c:formatCode>
                <c:ptCount val="12"/>
                <c:pt idx="0">
                  <c:v>824</c:v>
                </c:pt>
                <c:pt idx="1">
                  <c:v>861</c:v>
                </c:pt>
                <c:pt idx="2">
                  <c:v>886</c:v>
                </c:pt>
                <c:pt idx="3">
                  <c:v>920</c:v>
                </c:pt>
                <c:pt idx="4">
                  <c:v>939</c:v>
                </c:pt>
                <c:pt idx="5">
                  <c:v>1030</c:v>
                </c:pt>
                <c:pt idx="6">
                  <c:v>1104</c:v>
                </c:pt>
                <c:pt idx="7">
                  <c:v>954</c:v>
                </c:pt>
                <c:pt idx="8">
                  <c:v>953</c:v>
                </c:pt>
                <c:pt idx="9">
                  <c:v>1032</c:v>
                </c:pt>
                <c:pt idx="10">
                  <c:v>1163</c:v>
                </c:pt>
                <c:pt idx="11">
                  <c:v>1332</c:v>
                </c:pt>
              </c:numCache>
            </c:numRef>
          </c:val>
          <c:smooth val="1"/>
          <c:extLst>
            <c:ext xmlns:c16="http://schemas.microsoft.com/office/drawing/2014/chart" uri="{C3380CC4-5D6E-409C-BE32-E72D297353CC}">
              <c16:uniqueId val="{00000000-A3A6-384F-9F61-4B2804258E64}"/>
            </c:ext>
          </c:extLst>
        </c:ser>
        <c:ser>
          <c:idx val="1"/>
          <c:order val="1"/>
          <c:tx>
            <c:v>Forecast EBITDA</c:v>
          </c:tx>
          <c:marker>
            <c:symbol val="none"/>
          </c:marker>
          <c:cat>
            <c:strRef>
              <c:f>Dashboard!$A$41:$A$52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Dashboard!$C$41:$C$52</c:f>
              <c:numCache>
                <c:formatCode>\£#,##0;[Red]\(\£#,##0\);\-</c:formatCode>
                <c:ptCount val="12"/>
                <c:pt idx="0">
                  <c:v>1079</c:v>
                </c:pt>
                <c:pt idx="1">
                  <c:v>1125</c:v>
                </c:pt>
                <c:pt idx="2">
                  <c:v>1260</c:v>
                </c:pt>
                <c:pt idx="3">
                  <c:v>1254</c:v>
                </c:pt>
                <c:pt idx="4">
                  <c:v>1241</c:v>
                </c:pt>
                <c:pt idx="5">
                  <c:v>1346</c:v>
                </c:pt>
                <c:pt idx="6">
                  <c:v>1390</c:v>
                </c:pt>
                <c:pt idx="7">
                  <c:v>1333</c:v>
                </c:pt>
                <c:pt idx="8">
                  <c:v>1263</c:v>
                </c:pt>
                <c:pt idx="9">
                  <c:v>1032</c:v>
                </c:pt>
                <c:pt idx="10">
                  <c:v>1163</c:v>
                </c:pt>
                <c:pt idx="11">
                  <c:v>1332</c:v>
                </c:pt>
              </c:numCache>
            </c:numRef>
          </c:val>
          <c:smooth val="1"/>
          <c:extLst>
            <c:ext xmlns:c16="http://schemas.microsoft.com/office/drawing/2014/chart" uri="{C3380CC4-5D6E-409C-BE32-E72D297353CC}">
              <c16:uniqueId val="{00000001-A3A6-384F-9F61-4B2804258E64}"/>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13-Week Ending Cash (£000)</a:t>
            </a:r>
          </a:p>
        </c:rich>
      </c:tx>
      <c:overlay val="1"/>
    </c:title>
    <c:autoTitleDeleted val="0"/>
    <c:plotArea>
      <c:layout/>
      <c:lineChart>
        <c:grouping val="standard"/>
        <c:varyColors val="0"/>
        <c:ser>
          <c:idx val="0"/>
          <c:order val="0"/>
          <c:tx>
            <c:v>Ending Cash</c:v>
          </c:tx>
          <c:marker>
            <c:symbol val="none"/>
          </c:marker>
          <c:cat>
            <c:numRef>
              <c:f>Dashboard!$A$71:$A$83</c:f>
              <c:numCache>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Cache>
            </c:numRef>
          </c:cat>
          <c:val>
            <c:numRef>
              <c:f>Dashboard!$B$71:$B$83</c:f>
              <c:numCache>
                <c:formatCode>\£#,##0;[Red]\(\£#,##0\);\-</c:formatCode>
                <c:ptCount val="13"/>
                <c:pt idx="0">
                  <c:v>2218.9571485268307</c:v>
                </c:pt>
                <c:pt idx="1">
                  <c:v>3031.9852415332111</c:v>
                </c:pt>
                <c:pt idx="2">
                  <c:v>4881.2928550330125</c:v>
                </c:pt>
                <c:pt idx="3">
                  <c:v>5139.2084775788671</c:v>
                </c:pt>
                <c:pt idx="4">
                  <c:v>5317.9774004083047</c:v>
                </c:pt>
                <c:pt idx="5">
                  <c:v>5531.1773484151581</c:v>
                </c:pt>
                <c:pt idx="6">
                  <c:v>5744.3772964220116</c:v>
                </c:pt>
                <c:pt idx="7">
                  <c:v>5957.577244428865</c:v>
                </c:pt>
                <c:pt idx="8">
                  <c:v>6307.9686701579676</c:v>
                </c:pt>
                <c:pt idx="9">
                  <c:v>6324.2748793221772</c:v>
                </c:pt>
                <c:pt idx="10">
                  <c:v>6590.5810884863868</c:v>
                </c:pt>
                <c:pt idx="11">
                  <c:v>6856.8872976505963</c:v>
                </c:pt>
                <c:pt idx="12">
                  <c:v>7123.1935068148059</c:v>
                </c:pt>
              </c:numCache>
            </c:numRef>
          </c:val>
          <c:smooth val="1"/>
          <c:extLst>
            <c:ext xmlns:c16="http://schemas.microsoft.com/office/drawing/2014/chart" uri="{C3380CC4-5D6E-409C-BE32-E72D297353CC}">
              <c16:uniqueId val="{00000000-93B9-ED46-8749-A0BDBAB3B111}"/>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13-Week Ending Cash</a:t>
            </a:r>
          </a:p>
        </c:rich>
      </c:tx>
      <c:layout>
        <c:manualLayout>
          <c:xMode val="edge"/>
          <c:yMode val="edge"/>
          <c:x val="0.33144014606869793"/>
          <c:y val="4.9689440993788817E-2"/>
        </c:manualLayout>
      </c:layout>
      <c:overlay val="1"/>
    </c:title>
    <c:autoTitleDeleted val="0"/>
    <c:plotArea>
      <c:layout/>
      <c:lineChart>
        <c:grouping val="standard"/>
        <c:varyColors val="0"/>
        <c:ser>
          <c:idx val="0"/>
          <c:order val="0"/>
          <c:tx>
            <c:v>Ending Cash</c:v>
          </c:tx>
          <c:marker>
            <c:symbol val="none"/>
          </c:marker>
          <c:cat>
            <c:numRef>
              <c:f>'13-Week Cash Forecast'!$P$17:$P$29</c:f>
              <c:numCache>
                <c:formatCode>dd\-mmm</c:formatCode>
                <c:ptCount val="13"/>
                <c:pt idx="0">
                  <c:v>46300</c:v>
                </c:pt>
                <c:pt idx="1">
                  <c:v>46307</c:v>
                </c:pt>
                <c:pt idx="2">
                  <c:v>46314</c:v>
                </c:pt>
                <c:pt idx="3">
                  <c:v>46321</c:v>
                </c:pt>
                <c:pt idx="4">
                  <c:v>46328</c:v>
                </c:pt>
                <c:pt idx="5">
                  <c:v>46335</c:v>
                </c:pt>
                <c:pt idx="6">
                  <c:v>46342</c:v>
                </c:pt>
                <c:pt idx="7">
                  <c:v>46349</c:v>
                </c:pt>
                <c:pt idx="8">
                  <c:v>46356</c:v>
                </c:pt>
                <c:pt idx="9">
                  <c:v>46363</c:v>
                </c:pt>
                <c:pt idx="10">
                  <c:v>46370</c:v>
                </c:pt>
                <c:pt idx="11">
                  <c:v>46377</c:v>
                </c:pt>
                <c:pt idx="12">
                  <c:v>46384</c:v>
                </c:pt>
              </c:numCache>
            </c:numRef>
          </c:cat>
          <c:val>
            <c:numRef>
              <c:f>'13-Week Cash Forecast'!$Q$17:$Q$29</c:f>
              <c:numCache>
                <c:formatCode>\£#,##0.0;[Red]\(\£#,##0.0\);\-</c:formatCode>
                <c:ptCount val="13"/>
                <c:pt idx="0">
                  <c:v>2218.9571485268307</c:v>
                </c:pt>
                <c:pt idx="1">
                  <c:v>3031.9852415332111</c:v>
                </c:pt>
                <c:pt idx="2">
                  <c:v>4881.2928550330125</c:v>
                </c:pt>
                <c:pt idx="3">
                  <c:v>5139.2084775788671</c:v>
                </c:pt>
                <c:pt idx="4">
                  <c:v>5317.9774004083047</c:v>
                </c:pt>
                <c:pt idx="5">
                  <c:v>5531.1773484151581</c:v>
                </c:pt>
                <c:pt idx="6">
                  <c:v>5744.3772964220116</c:v>
                </c:pt>
                <c:pt idx="7">
                  <c:v>5957.577244428865</c:v>
                </c:pt>
                <c:pt idx="8">
                  <c:v>6307.9686701579676</c:v>
                </c:pt>
                <c:pt idx="9">
                  <c:v>6324.2748793221772</c:v>
                </c:pt>
                <c:pt idx="10">
                  <c:v>6590.5810884863868</c:v>
                </c:pt>
                <c:pt idx="11">
                  <c:v>6856.8872976505963</c:v>
                </c:pt>
                <c:pt idx="12">
                  <c:v>7123.1935068148059</c:v>
                </c:pt>
              </c:numCache>
            </c:numRef>
          </c:val>
          <c:smooth val="1"/>
          <c:extLst>
            <c:ext xmlns:c16="http://schemas.microsoft.com/office/drawing/2014/chart" uri="{C3380CC4-5D6E-409C-BE32-E72D297353CC}">
              <c16:uniqueId val="{00000000-FA8C-C445-BCB8-B428B7352F95}"/>
            </c:ext>
          </c:extLst>
        </c:ser>
        <c:dLbls>
          <c:showLegendKey val="0"/>
          <c:showVal val="0"/>
          <c:showCatName val="0"/>
          <c:showSerName val="0"/>
          <c:showPercent val="0"/>
          <c:showBubbleSize val="0"/>
        </c:dLbls>
        <c:smooth val="0"/>
        <c:axId val="48650112"/>
        <c:axId val="48672768"/>
      </c:lineChart>
      <c:dateAx>
        <c:axId val="48650112"/>
        <c:scaling>
          <c:orientation val="minMax"/>
        </c:scaling>
        <c:delete val="0"/>
        <c:axPos val="b"/>
        <c:majorGridlines>
          <c:spPr>
            <a:ln w="9525">
              <a:solidFill>
                <a:srgbClr val="CCCCCC"/>
              </a:solidFill>
              <a:prstDash val="dash"/>
            </a:ln>
          </c:spPr>
        </c:majorGridlines>
        <c:numFmt formatCode="dd\-mmm" sourceLinked="1"/>
        <c:majorTickMark val="none"/>
        <c:minorTickMark val="none"/>
        <c:tickLblPos val="nextTo"/>
        <c:crossAx val="48672768"/>
        <c:crosses val="autoZero"/>
        <c:auto val="1"/>
        <c:lblOffset val="100"/>
        <c:baseTimeUnit val="days"/>
      </c:date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Revenue Variance Drivers</a:t>
            </a:r>
          </a:p>
        </c:rich>
      </c:tx>
      <c:layout>
        <c:manualLayout>
          <c:xMode val="edge"/>
          <c:yMode val="edge"/>
          <c:x val="0.35527382110943995"/>
          <c:y val="3.0303030303030304E-2"/>
        </c:manualLayout>
      </c:layout>
      <c:overlay val="1"/>
    </c:title>
    <c:autoTitleDeleted val="0"/>
    <c:plotArea>
      <c:layout/>
      <c:barChart>
        <c:barDir val="col"/>
        <c:grouping val="clustered"/>
        <c:varyColors val="0"/>
        <c:ser>
          <c:idx val="0"/>
          <c:order val="0"/>
          <c:tx>
            <c:v>Effect (£000)</c:v>
          </c:tx>
          <c:invertIfNegative val="1"/>
          <c:cat>
            <c:strRef>
              <c:f>'PVM Analysis'!$D$30:$D$32</c:f>
              <c:strCache>
                <c:ptCount val="3"/>
                <c:pt idx="0">
                  <c:v>Volume</c:v>
                </c:pt>
                <c:pt idx="1">
                  <c:v>Mix</c:v>
                </c:pt>
                <c:pt idx="2">
                  <c:v>Price</c:v>
                </c:pt>
              </c:strCache>
            </c:strRef>
          </c:cat>
          <c:val>
            <c:numRef>
              <c:f>'PVM Analysis'!$E$30:$E$32</c:f>
              <c:numCache>
                <c:formatCode>\£#,##0.0;[Red]\(\£#,##0.0\);\-</c:formatCode>
                <c:ptCount val="3"/>
                <c:pt idx="0">
                  <c:v>-256</c:v>
                </c:pt>
                <c:pt idx="1">
                  <c:v>109</c:v>
                </c:pt>
                <c:pt idx="2">
                  <c:v>-152</c:v>
                </c:pt>
              </c:numCache>
            </c:numRef>
          </c:val>
          <c:extLst>
            <c:ext xmlns:c16="http://schemas.microsoft.com/office/drawing/2014/chart" uri="{C3380CC4-5D6E-409C-BE32-E72D297353CC}">
              <c16:uniqueId val="{00000000-30BF-974F-9166-5DB473150FF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Probability-Weighted R&amp;O by Division</a:t>
            </a:r>
          </a:p>
        </c:rich>
      </c:tx>
      <c:layout>
        <c:manualLayout>
          <c:xMode val="edge"/>
          <c:yMode val="edge"/>
          <c:x val="0.34253596772625644"/>
          <c:y val="0"/>
        </c:manualLayout>
      </c:layout>
      <c:overlay val="1"/>
    </c:title>
    <c:autoTitleDeleted val="0"/>
    <c:plotArea>
      <c:layout/>
      <c:barChart>
        <c:barDir val="col"/>
        <c:grouping val="clustered"/>
        <c:varyColors val="0"/>
        <c:ser>
          <c:idx val="0"/>
          <c:order val="0"/>
          <c:tx>
            <c:v>Opportunity</c:v>
          </c:tx>
          <c:invertIfNegative val="1"/>
          <c:cat>
            <c:strRef>
              <c:f>'Risks &amp; Opportunities'!$F$23:$F$28</c:f>
              <c:strCache>
                <c:ptCount val="6"/>
                <c:pt idx="0">
                  <c:v>Personal Care</c:v>
                </c:pt>
                <c:pt idx="1">
                  <c:v>Home Care</c:v>
                </c:pt>
                <c:pt idx="2">
                  <c:v>Nutrition &amp; Wellness</c:v>
                </c:pt>
                <c:pt idx="3">
                  <c:v>Baby &amp; Kids</c:v>
                </c:pt>
                <c:pt idx="4">
                  <c:v>Leisure &amp; Lifestyle</c:v>
                </c:pt>
                <c:pt idx="5">
                  <c:v>Corporate</c:v>
                </c:pt>
              </c:strCache>
            </c:strRef>
          </c:cat>
          <c:val>
            <c:numRef>
              <c:f>'Risks &amp; Opportunities'!$G$23:$G$28</c:f>
              <c:numCache>
                <c:formatCode>\£#,##0.0;[Red]\(\£#,##0.0\);\-</c:formatCode>
                <c:ptCount val="6"/>
                <c:pt idx="0">
                  <c:v>29.25</c:v>
                </c:pt>
                <c:pt idx="1">
                  <c:v>59.499999999999993</c:v>
                </c:pt>
                <c:pt idx="2">
                  <c:v>61.75</c:v>
                </c:pt>
                <c:pt idx="3">
                  <c:v>21</c:v>
                </c:pt>
                <c:pt idx="4">
                  <c:v>38.5</c:v>
                </c:pt>
                <c:pt idx="5">
                  <c:v>30</c:v>
                </c:pt>
              </c:numCache>
            </c:numRef>
          </c:val>
          <c:extLst>
            <c:ext xmlns:c16="http://schemas.microsoft.com/office/drawing/2014/chart" uri="{C3380CC4-5D6E-409C-BE32-E72D297353CC}">
              <c16:uniqueId val="{00000000-B9A1-D641-A61B-4D11A19A99AA}"/>
            </c:ext>
          </c:extLst>
        </c:ser>
        <c:ser>
          <c:idx val="1"/>
          <c:order val="1"/>
          <c:tx>
            <c:v>Risk</c:v>
          </c:tx>
          <c:invertIfNegative val="1"/>
          <c:cat>
            <c:strRef>
              <c:f>'Risks &amp; Opportunities'!$F$23:$F$28</c:f>
              <c:strCache>
                <c:ptCount val="6"/>
                <c:pt idx="0">
                  <c:v>Personal Care</c:v>
                </c:pt>
                <c:pt idx="1">
                  <c:v>Home Care</c:v>
                </c:pt>
                <c:pt idx="2">
                  <c:v>Nutrition &amp; Wellness</c:v>
                </c:pt>
                <c:pt idx="3">
                  <c:v>Baby &amp; Kids</c:v>
                </c:pt>
                <c:pt idx="4">
                  <c:v>Leisure &amp; Lifestyle</c:v>
                </c:pt>
                <c:pt idx="5">
                  <c:v>Corporate</c:v>
                </c:pt>
              </c:strCache>
            </c:strRef>
          </c:cat>
          <c:val>
            <c:numRef>
              <c:f>'Risks &amp; Opportunities'!$H$23:$H$28</c:f>
              <c:numCache>
                <c:formatCode>\£#,##0.0;[Red]\(\£#,##0.0\);\-</c:formatCode>
                <c:ptCount val="6"/>
                <c:pt idx="0">
                  <c:v>-22.5</c:v>
                </c:pt>
                <c:pt idx="1">
                  <c:v>-77</c:v>
                </c:pt>
                <c:pt idx="2">
                  <c:v>-22.75</c:v>
                </c:pt>
                <c:pt idx="3">
                  <c:v>-40</c:v>
                </c:pt>
                <c:pt idx="4">
                  <c:v>-22</c:v>
                </c:pt>
                <c:pt idx="5">
                  <c:v>-40.5</c:v>
                </c:pt>
              </c:numCache>
            </c:numRef>
          </c:val>
          <c:extLst>
            <c:ext xmlns:c16="http://schemas.microsoft.com/office/drawing/2014/chart" uri="{C3380CC4-5D6E-409C-BE32-E72D297353CC}">
              <c16:uniqueId val="{00000001-B9A1-D641-A61B-4D11A19A99AA}"/>
            </c:ext>
          </c:extLst>
        </c:ser>
        <c:ser>
          <c:idx val="2"/>
          <c:order val="2"/>
          <c:tx>
            <c:v>Net</c:v>
          </c:tx>
          <c:invertIfNegative val="1"/>
          <c:cat>
            <c:strRef>
              <c:f>'Risks &amp; Opportunities'!$F$23:$F$28</c:f>
              <c:strCache>
                <c:ptCount val="6"/>
                <c:pt idx="0">
                  <c:v>Personal Care</c:v>
                </c:pt>
                <c:pt idx="1">
                  <c:v>Home Care</c:v>
                </c:pt>
                <c:pt idx="2">
                  <c:v>Nutrition &amp; Wellness</c:v>
                </c:pt>
                <c:pt idx="3">
                  <c:v>Baby &amp; Kids</c:v>
                </c:pt>
                <c:pt idx="4">
                  <c:v>Leisure &amp; Lifestyle</c:v>
                </c:pt>
                <c:pt idx="5">
                  <c:v>Corporate</c:v>
                </c:pt>
              </c:strCache>
            </c:strRef>
          </c:cat>
          <c:val>
            <c:numRef>
              <c:f>'Risks &amp; Opportunities'!$I$23:$I$28</c:f>
              <c:numCache>
                <c:formatCode>\£#,##0.0;[Red]\(\£#,##0.0\);\-</c:formatCode>
                <c:ptCount val="6"/>
                <c:pt idx="0">
                  <c:v>6.75</c:v>
                </c:pt>
                <c:pt idx="1">
                  <c:v>-17.500000000000007</c:v>
                </c:pt>
                <c:pt idx="2">
                  <c:v>39</c:v>
                </c:pt>
                <c:pt idx="3">
                  <c:v>-19</c:v>
                </c:pt>
                <c:pt idx="4">
                  <c:v>16.5</c:v>
                </c:pt>
                <c:pt idx="5">
                  <c:v>-10.5</c:v>
                </c:pt>
              </c:numCache>
            </c:numRef>
          </c:val>
          <c:extLst>
            <c:ext xmlns:c16="http://schemas.microsoft.com/office/drawing/2014/chart" uri="{C3380CC4-5D6E-409C-BE32-E72D297353CC}">
              <c16:uniqueId val="{00000002-B9A1-D641-A61B-4D11A19A99A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Price–Volume–Mix</a:t>
            </a:r>
          </a:p>
        </c:rich>
      </c:tx>
      <c:overlay val="1"/>
    </c:title>
    <c:autoTitleDeleted val="0"/>
    <c:plotArea>
      <c:layout/>
      <c:barChart>
        <c:barDir val="col"/>
        <c:grouping val="clustered"/>
        <c:varyColors val="0"/>
        <c:ser>
          <c:idx val="0"/>
          <c:order val="0"/>
          <c:tx>
            <c:v>Effect</c:v>
          </c:tx>
          <c:invertIfNegative val="1"/>
          <c:cat>
            <c:strRef>
              <c:f>'Management Pack'!$H$20:$H$22</c:f>
              <c:strCache>
                <c:ptCount val="3"/>
                <c:pt idx="0">
                  <c:v>Volume</c:v>
                </c:pt>
                <c:pt idx="1">
                  <c:v>Mix</c:v>
                </c:pt>
                <c:pt idx="2">
                  <c:v>Price</c:v>
                </c:pt>
              </c:strCache>
            </c:strRef>
          </c:cat>
          <c:val>
            <c:numRef>
              <c:f>'Management Pack'!$I$20:$I$22</c:f>
              <c:numCache>
                <c:formatCode>\£#,##0.0;[Red]\(\£#,##0.0\);\-</c:formatCode>
                <c:ptCount val="3"/>
                <c:pt idx="0">
                  <c:v>-256</c:v>
                </c:pt>
                <c:pt idx="1">
                  <c:v>109</c:v>
                </c:pt>
                <c:pt idx="2">
                  <c:v>-152</c:v>
                </c:pt>
              </c:numCache>
            </c:numRef>
          </c:val>
          <c:extLst>
            <c:ext xmlns:c16="http://schemas.microsoft.com/office/drawing/2014/chart" uri="{C3380CC4-5D6E-409C-BE32-E72D297353CC}">
              <c16:uniqueId val="{00000000-5FF2-FB4E-8985-F37B0C395EE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Red]\(\£#,##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14</xdr:col>
      <xdr:colOff>190500</xdr:colOff>
      <xdr:row>8</xdr:row>
      <xdr:rowOff>25400</xdr:rowOff>
    </xdr:from>
    <xdr:to>
      <xdr:col>29</xdr:col>
      <xdr:colOff>0</xdr:colOff>
      <xdr:row>29</xdr:row>
      <xdr:rowOff>203200</xdr:rowOff>
    </xdr:to>
    <xdr:graphicFrame macro="">
      <xdr:nvGraphicFramePr>
        <xdr:cNvPr id="2" name="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114300</xdr:colOff>
      <xdr:row>51</xdr:row>
      <xdr:rowOff>38100</xdr:rowOff>
    </xdr:from>
    <xdr:to>
      <xdr:col>28</xdr:col>
      <xdr:colOff>596900</xdr:colOff>
      <xdr:row>68</xdr:row>
      <xdr:rowOff>88900</xdr:rowOff>
    </xdr:to>
    <xdr:graphicFrame macro="">
      <xdr:nvGraphicFramePr>
        <xdr:cNvPr id="3" name="Chart">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165100</xdr:colOff>
      <xdr:row>30</xdr:row>
      <xdr:rowOff>127000</xdr:rowOff>
    </xdr:from>
    <xdr:to>
      <xdr:col>28</xdr:col>
      <xdr:colOff>647700</xdr:colOff>
      <xdr:row>50</xdr:row>
      <xdr:rowOff>25400</xdr:rowOff>
    </xdr:to>
    <xdr:graphicFrame macro="">
      <xdr:nvGraphicFramePr>
        <xdr:cNvPr id="4" name="Chart">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127000</xdr:colOff>
      <xdr:row>69</xdr:row>
      <xdr:rowOff>101600</xdr:rowOff>
    </xdr:from>
    <xdr:to>
      <xdr:col>29</xdr:col>
      <xdr:colOff>241300</xdr:colOff>
      <xdr:row>84</xdr:row>
      <xdr:rowOff>101600</xdr:rowOff>
    </xdr:to>
    <xdr:graphicFrame macro="">
      <xdr:nvGraphicFramePr>
        <xdr:cNvPr id="5" name="Chart">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30</xdr:row>
      <xdr:rowOff>0</xdr:rowOff>
    </xdr:from>
    <xdr:to>
      <xdr:col>15</xdr:col>
      <xdr:colOff>368300</xdr:colOff>
      <xdr:row>49</xdr:row>
      <xdr:rowOff>114300</xdr:rowOff>
    </xdr:to>
    <xdr:graphicFrame macro="">
      <xdr:nvGraphicFramePr>
        <xdr:cNvPr id="2" name="Chart">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660400</xdr:colOff>
      <xdr:row>34</xdr:row>
      <xdr:rowOff>165100</xdr:rowOff>
    </xdr:from>
    <xdr:to>
      <xdr:col>5</xdr:col>
      <xdr:colOff>1079500</xdr:colOff>
      <xdr:row>58</xdr:row>
      <xdr:rowOff>12700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406400</xdr:colOff>
      <xdr:row>30</xdr:row>
      <xdr:rowOff>76200</xdr:rowOff>
    </xdr:from>
    <xdr:to>
      <xdr:col>7</xdr:col>
      <xdr:colOff>368300</xdr:colOff>
      <xdr:row>55</xdr:row>
      <xdr:rowOff>101600</xdr:rowOff>
    </xdr:to>
    <xdr:graphicFrame macro="">
      <xdr:nvGraphicFramePr>
        <xdr:cNvPr id="2" name="Chart">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292100</xdr:colOff>
      <xdr:row>10</xdr:row>
      <xdr:rowOff>63500</xdr:rowOff>
    </xdr:from>
    <xdr:to>
      <xdr:col>23</xdr:col>
      <xdr:colOff>177800</xdr:colOff>
      <xdr:row>26</xdr:row>
      <xdr:rowOff>215900</xdr:rowOff>
    </xdr:to>
    <xdr:graphicFrame macro="">
      <xdr:nvGraphicFramePr>
        <xdr:cNvPr id="2" name="Chart">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istoricalActualsTable" displayName="HistoricalActualsTable" ref="A3:O168" totalsRowShown="0">
  <tableColumns count="15">
    <tableColumn id="1" xr3:uid="{00000000-0010-0000-0000-000001000000}" name="Period"/>
    <tableColumn id="2" xr3:uid="{00000000-0010-0000-0000-000002000000}" name="Division"/>
    <tableColumn id="3" xr3:uid="{00000000-0010-0000-0000-000003000000}" name="Units"/>
    <tableColumn id="4" xr3:uid="{00000000-0010-0000-0000-000004000000}" name="ASP (£/unit)"/>
    <tableColumn id="5" xr3:uid="{00000000-0010-0000-0000-000005000000}" name="Revenue (£000)"/>
    <tableColumn id="6" xr3:uid="{00000000-0010-0000-0000-000006000000}" name="Unit Cost (£/unit)"/>
    <tableColumn id="7" xr3:uid="{00000000-0010-0000-0000-000007000000}" name="COGS (£000)"/>
    <tableColumn id="8" xr3:uid="{00000000-0010-0000-0000-000008000000}" name="Gross Profit (£000)"/>
    <tableColumn id="9" xr3:uid="{00000000-0010-0000-0000-000009000000}" name="GP %"/>
    <tableColumn id="10" xr3:uid="{00000000-0010-0000-0000-00000A000000}" name="Marketing (£000)"/>
    <tableColumn id="11" xr3:uid="{00000000-0010-0000-0000-00000B000000}" name="Payroll (£000)"/>
    <tableColumn id="12" xr3:uid="{00000000-0010-0000-0000-00000C000000}" name="Other Opex (£000)"/>
    <tableColumn id="13" xr3:uid="{00000000-0010-0000-0000-00000D000000}" name="EBITDA (£000)"/>
    <tableColumn id="14" xr3:uid="{00000000-0010-0000-0000-00000E000000}" name="EBITDA %"/>
    <tableColumn id="15" xr3:uid="{00000000-0010-0000-0000-00000F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udget2026Table" displayName="Budget2026Table" ref="A3:P63" totalsRowShown="0">
  <tableColumns count="16">
    <tableColumn id="1" xr3:uid="{00000000-0010-0000-0100-000001000000}" name="Period"/>
    <tableColumn id="2" xr3:uid="{00000000-0010-0000-0100-000002000000}" name="Division"/>
    <tableColumn id="3" xr3:uid="{00000000-0010-0000-0100-000003000000}" name="PY Units"/>
    <tableColumn id="4" xr3:uid="{00000000-0010-0000-0100-000004000000}" name="Budget Units"/>
    <tableColumn id="5" xr3:uid="{00000000-0010-0000-0100-000005000000}" name="PY ASP"/>
    <tableColumn id="6" xr3:uid="{00000000-0010-0000-0100-000006000000}" name="Budget ASP"/>
    <tableColumn id="7" xr3:uid="{00000000-0010-0000-0100-000007000000}" name="PY Unit Cost"/>
    <tableColumn id="8" xr3:uid="{00000000-0010-0000-0100-000008000000}" name="Budget Unit Cost"/>
    <tableColumn id="9" xr3:uid="{00000000-0010-0000-0100-000009000000}" name="Revenue (£000)"/>
    <tableColumn id="10" xr3:uid="{00000000-0010-0000-0100-00000A000000}" name="COGS (£000)"/>
    <tableColumn id="11" xr3:uid="{00000000-0010-0000-0100-00000B000000}" name="Gross Profit (£000)"/>
    <tableColumn id="12" xr3:uid="{00000000-0010-0000-0100-00000C000000}" name="GP %"/>
    <tableColumn id="13" xr3:uid="{00000000-0010-0000-0100-00000D000000}" name="Marketing (£000)"/>
    <tableColumn id="14" xr3:uid="{00000000-0010-0000-0100-00000E000000}" name="Payroll (£000)"/>
    <tableColumn id="15" xr3:uid="{00000000-0010-0000-0100-00000F000000}" name="Other Opex (£000)"/>
    <tableColumn id="16" xr3:uid="{00000000-0010-0000-0100-000010000000}" name="EBITDA (£00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ollingForecastTable" displayName="RollingForecastTable" ref="A3:P63" totalsRowShown="0">
  <tableColumns count="16">
    <tableColumn id="1" xr3:uid="{00000000-0010-0000-0200-000001000000}" name="Period"/>
    <tableColumn id="2" xr3:uid="{00000000-0010-0000-0200-000002000000}" name="Division"/>
    <tableColumn id="3" xr3:uid="{00000000-0010-0000-0200-000003000000}" name="Source"/>
    <tableColumn id="4" xr3:uid="{00000000-0010-0000-0200-000004000000}" name="Units"/>
    <tableColumn id="5" xr3:uid="{00000000-0010-0000-0200-000005000000}" name="ASP (£/unit)"/>
    <tableColumn id="6" xr3:uid="{00000000-0010-0000-0200-000006000000}" name="Revenue (£000)"/>
    <tableColumn id="7" xr3:uid="{00000000-0010-0000-0200-000007000000}" name="Unit Cost (£/unit)"/>
    <tableColumn id="8" xr3:uid="{00000000-0010-0000-0200-000008000000}" name="COGS (£000)"/>
    <tableColumn id="9" xr3:uid="{00000000-0010-0000-0200-000009000000}" name="Gross Profit (£000)"/>
    <tableColumn id="10" xr3:uid="{00000000-0010-0000-0200-00000A000000}" name="GP %"/>
    <tableColumn id="11" xr3:uid="{00000000-0010-0000-0200-00000B000000}" name="Marketing (£000)"/>
    <tableColumn id="12" xr3:uid="{00000000-0010-0000-0200-00000C000000}" name="Payroll (£000)"/>
    <tableColumn id="13" xr3:uid="{00000000-0010-0000-0200-00000D000000}" name="Other Opex (£000)"/>
    <tableColumn id="14" xr3:uid="{00000000-0010-0000-0200-00000E000000}" name="EBITDA (£000)"/>
    <tableColumn id="15" xr3:uid="{00000000-0010-0000-0200-00000F000000}" name="EBITDA %"/>
    <tableColumn id="16" xr3:uid="{00000000-0010-0000-0200-000010000000}" name="Scenari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
  <sheetViews>
    <sheetView workbookViewId="0">
      <selection activeCell="A3" sqref="A3:J3"/>
    </sheetView>
  </sheetViews>
  <sheetFormatPr baseColWidth="10" defaultColWidth="8.83203125" defaultRowHeight="15"/>
  <cols>
    <col min="1" max="1" width="24" customWidth="1"/>
    <col min="2" max="2" width="70" customWidth="1"/>
    <col min="3" max="10" width="12" customWidth="1"/>
  </cols>
  <sheetData>
    <row r="1" spans="1:26" ht="37.25" customHeight="1">
      <c r="A1" s="83" t="s">
        <v>0</v>
      </c>
      <c r="B1" s="83"/>
      <c r="C1" s="83"/>
      <c r="D1" s="83"/>
      <c r="E1" s="83"/>
      <c r="F1" s="83"/>
      <c r="G1" s="83"/>
      <c r="H1" s="83"/>
      <c r="I1" s="83"/>
      <c r="J1" s="83"/>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26.75" customHeight="1">
      <c r="A3" s="84" t="s">
        <v>1</v>
      </c>
      <c r="B3" s="84"/>
      <c r="C3" s="84"/>
      <c r="D3" s="84"/>
      <c r="E3" s="84"/>
      <c r="F3" s="84"/>
      <c r="G3" s="84"/>
      <c r="H3" s="84"/>
      <c r="I3" s="84"/>
      <c r="J3" s="84"/>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75" customHeight="1">
      <c r="A5" s="85" t="s">
        <v>2</v>
      </c>
      <c r="B5" s="85"/>
      <c r="C5" s="85"/>
      <c r="D5" s="85"/>
      <c r="E5" s="85"/>
      <c r="F5" s="85"/>
      <c r="G5" s="85"/>
      <c r="H5" s="85"/>
      <c r="I5" s="85"/>
      <c r="J5" s="85"/>
      <c r="K5" s="1"/>
      <c r="L5" s="1"/>
      <c r="M5" s="1"/>
      <c r="N5" s="1"/>
      <c r="O5" s="1"/>
      <c r="P5" s="1"/>
      <c r="Q5" s="1"/>
      <c r="R5" s="1"/>
      <c r="S5" s="1"/>
      <c r="T5" s="1"/>
      <c r="U5" s="1"/>
      <c r="V5" s="1"/>
      <c r="W5" s="1"/>
      <c r="X5" s="1"/>
      <c r="Y5" s="1"/>
      <c r="Z5" s="1"/>
    </row>
    <row r="6" spans="1:26">
      <c r="A6" s="86" t="s">
        <v>3</v>
      </c>
      <c r="B6" s="86"/>
      <c r="C6" s="86"/>
      <c r="D6" s="86"/>
      <c r="E6" s="86"/>
      <c r="F6" s="86"/>
      <c r="G6" s="86"/>
      <c r="H6" s="86"/>
      <c r="I6" s="86"/>
      <c r="J6" s="86"/>
      <c r="K6" s="1"/>
      <c r="L6" s="1"/>
      <c r="M6" s="1"/>
      <c r="N6" s="1"/>
      <c r="O6" s="1"/>
      <c r="P6" s="1"/>
      <c r="Q6" s="1"/>
      <c r="R6" s="1"/>
      <c r="S6" s="1"/>
      <c r="T6" s="1"/>
      <c r="U6" s="1"/>
      <c r="V6" s="1"/>
      <c r="W6" s="1"/>
      <c r="X6" s="1"/>
      <c r="Y6" s="1"/>
      <c r="Z6" s="1"/>
    </row>
    <row r="7" spans="1:26">
      <c r="A7" s="86"/>
      <c r="B7" s="86"/>
      <c r="C7" s="86"/>
      <c r="D7" s="86"/>
      <c r="E7" s="86"/>
      <c r="F7" s="86"/>
      <c r="G7" s="86"/>
      <c r="H7" s="86"/>
      <c r="I7" s="86"/>
      <c r="J7" s="86"/>
      <c r="K7" s="1"/>
      <c r="L7" s="1"/>
      <c r="M7" s="1"/>
      <c r="N7" s="1"/>
      <c r="O7" s="1"/>
      <c r="P7" s="1"/>
      <c r="Q7" s="1"/>
      <c r="R7" s="1"/>
      <c r="S7" s="1"/>
      <c r="T7" s="1"/>
      <c r="U7" s="1"/>
      <c r="V7" s="1"/>
      <c r="W7" s="1"/>
      <c r="X7" s="1"/>
      <c r="Y7" s="1"/>
      <c r="Z7" s="1"/>
    </row>
    <row r="8" spans="1:26">
      <c r="A8" s="86"/>
      <c r="B8" s="86"/>
      <c r="C8" s="86"/>
      <c r="D8" s="86"/>
      <c r="E8" s="86"/>
      <c r="F8" s="86"/>
      <c r="G8" s="86"/>
      <c r="H8" s="86"/>
      <c r="I8" s="86"/>
      <c r="J8" s="86"/>
      <c r="K8" s="1"/>
      <c r="L8" s="1"/>
      <c r="M8" s="1"/>
      <c r="N8" s="1"/>
      <c r="O8" s="1"/>
      <c r="P8" s="1"/>
      <c r="Q8" s="1"/>
      <c r="R8" s="1"/>
      <c r="S8" s="1"/>
      <c r="T8" s="1"/>
      <c r="U8" s="1"/>
      <c r="V8" s="1"/>
      <c r="W8" s="1"/>
      <c r="X8" s="1"/>
      <c r="Y8" s="1"/>
      <c r="Z8" s="1"/>
    </row>
    <row r="9" spans="1:26">
      <c r="A9" s="86"/>
      <c r="B9" s="86"/>
      <c r="C9" s="86"/>
      <c r="D9" s="86"/>
      <c r="E9" s="86"/>
      <c r="F9" s="86"/>
      <c r="G9" s="86"/>
      <c r="H9" s="86"/>
      <c r="I9" s="86"/>
      <c r="J9" s="86"/>
      <c r="K9" s="1"/>
      <c r="L9" s="1"/>
      <c r="M9" s="1"/>
      <c r="N9" s="1"/>
      <c r="O9" s="1"/>
      <c r="P9" s="1"/>
      <c r="Q9" s="1"/>
      <c r="R9" s="1"/>
      <c r="S9" s="1"/>
      <c r="T9" s="1"/>
      <c r="U9" s="1"/>
      <c r="V9" s="1"/>
      <c r="W9" s="1"/>
      <c r="X9" s="1"/>
      <c r="Y9" s="1"/>
      <c r="Z9" s="1"/>
    </row>
    <row r="10" spans="1:26">
      <c r="A10" s="86"/>
      <c r="B10" s="86"/>
      <c r="C10" s="86"/>
      <c r="D10" s="86"/>
      <c r="E10" s="86"/>
      <c r="F10" s="86"/>
      <c r="G10" s="86"/>
      <c r="H10" s="86"/>
      <c r="I10" s="86"/>
      <c r="J10" s="86"/>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26.75" customHeight="1">
      <c r="A12" s="85" t="s">
        <v>4</v>
      </c>
      <c r="B12" s="85"/>
      <c r="C12" s="85"/>
      <c r="D12" s="85"/>
      <c r="E12" s="85"/>
      <c r="F12" s="85"/>
      <c r="G12" s="85"/>
      <c r="H12" s="85"/>
      <c r="I12" s="85"/>
      <c r="J12" s="85"/>
      <c r="K12" s="1"/>
      <c r="L12" s="1"/>
      <c r="M12" s="1"/>
      <c r="N12" s="1"/>
      <c r="O12" s="1"/>
      <c r="P12" s="1"/>
      <c r="Q12" s="1"/>
      <c r="R12" s="1"/>
      <c r="S12" s="1"/>
      <c r="T12" s="1"/>
      <c r="U12" s="1"/>
      <c r="V12" s="1"/>
      <c r="W12" s="1"/>
      <c r="X12" s="1"/>
      <c r="Y12" s="1"/>
      <c r="Z12" s="1"/>
    </row>
    <row r="13" spans="1:26" ht="32">
      <c r="A13" s="3" t="s">
        <v>5</v>
      </c>
      <c r="B13" s="4" t="s">
        <v>6</v>
      </c>
      <c r="C13" s="1"/>
      <c r="D13" s="1"/>
      <c r="E13" s="1"/>
      <c r="F13" s="1"/>
      <c r="G13" s="1"/>
      <c r="H13" s="1"/>
      <c r="I13" s="1"/>
      <c r="J13" s="1"/>
      <c r="K13" s="1"/>
      <c r="L13" s="1"/>
      <c r="M13" s="1"/>
      <c r="N13" s="1"/>
      <c r="O13" s="1"/>
      <c r="P13" s="1"/>
      <c r="Q13" s="1"/>
      <c r="R13" s="1"/>
      <c r="S13" s="1"/>
      <c r="T13" s="1"/>
      <c r="U13" s="1"/>
      <c r="V13" s="1"/>
      <c r="W13" s="1"/>
      <c r="X13" s="1"/>
      <c r="Y13" s="1"/>
      <c r="Z13" s="1"/>
    </row>
    <row r="14" spans="1:26" ht="16">
      <c r="A14" s="3" t="s">
        <v>7</v>
      </c>
      <c r="B14" s="4" t="s">
        <v>8</v>
      </c>
      <c r="C14" s="1"/>
      <c r="D14" s="1"/>
      <c r="E14" s="1"/>
      <c r="F14" s="1"/>
      <c r="G14" s="1"/>
      <c r="H14" s="1"/>
      <c r="I14" s="1"/>
      <c r="J14" s="1"/>
      <c r="K14" s="1"/>
      <c r="L14" s="1"/>
      <c r="M14" s="1"/>
      <c r="N14" s="1"/>
      <c r="O14" s="1"/>
      <c r="P14" s="1"/>
      <c r="Q14" s="1"/>
      <c r="R14" s="1"/>
      <c r="S14" s="1"/>
      <c r="T14" s="1"/>
      <c r="U14" s="1"/>
      <c r="V14" s="1"/>
      <c r="W14" s="1"/>
      <c r="X14" s="1"/>
      <c r="Y14" s="1"/>
      <c r="Z14" s="1"/>
    </row>
    <row r="15" spans="1:26" ht="16">
      <c r="A15" s="3" t="s">
        <v>9</v>
      </c>
      <c r="B15" s="4" t="s">
        <v>10</v>
      </c>
      <c r="C15" s="1"/>
      <c r="D15" s="1"/>
      <c r="E15" s="1"/>
      <c r="F15" s="1"/>
      <c r="G15" s="1"/>
      <c r="H15" s="1"/>
      <c r="I15" s="1"/>
      <c r="J15" s="1"/>
      <c r="K15" s="1"/>
      <c r="L15" s="1"/>
      <c r="M15" s="1"/>
      <c r="N15" s="1"/>
      <c r="O15" s="1"/>
      <c r="P15" s="1"/>
      <c r="Q15" s="1"/>
      <c r="R15" s="1"/>
      <c r="S15" s="1"/>
      <c r="T15" s="1"/>
      <c r="U15" s="1"/>
      <c r="V15" s="1"/>
      <c r="W15" s="1"/>
      <c r="X15" s="1"/>
      <c r="Y15" s="1"/>
      <c r="Z15" s="1"/>
    </row>
    <row r="16" spans="1:26" ht="16">
      <c r="A16" s="3" t="s">
        <v>11</v>
      </c>
      <c r="B16" s="4" t="s">
        <v>12</v>
      </c>
      <c r="C16" s="1"/>
      <c r="D16" s="1"/>
      <c r="E16" s="1"/>
      <c r="F16" s="1"/>
      <c r="G16" s="1"/>
      <c r="H16" s="1"/>
      <c r="I16" s="1"/>
      <c r="J16" s="1"/>
      <c r="K16" s="1"/>
      <c r="L16" s="1"/>
      <c r="M16" s="1"/>
      <c r="N16" s="1"/>
      <c r="O16" s="1"/>
      <c r="P16" s="1"/>
      <c r="Q16" s="1"/>
      <c r="R16" s="1"/>
      <c r="S16" s="1"/>
      <c r="T16" s="1"/>
      <c r="U16" s="1"/>
      <c r="V16" s="1"/>
      <c r="W16" s="1"/>
      <c r="X16" s="1"/>
      <c r="Y16" s="1"/>
      <c r="Z16" s="1"/>
    </row>
    <row r="17" spans="1:26" ht="16">
      <c r="A17" s="3" t="s">
        <v>13</v>
      </c>
      <c r="B17" s="4" t="s">
        <v>14</v>
      </c>
      <c r="C17" s="1"/>
      <c r="D17" s="1"/>
      <c r="E17" s="1"/>
      <c r="F17" s="1"/>
      <c r="G17" s="1"/>
      <c r="H17" s="1"/>
      <c r="I17" s="1"/>
      <c r="J17" s="1"/>
      <c r="K17" s="1"/>
      <c r="L17" s="1"/>
      <c r="M17" s="1"/>
      <c r="N17" s="1"/>
      <c r="O17" s="1"/>
      <c r="P17" s="1"/>
      <c r="Q17" s="1"/>
      <c r="R17" s="1"/>
      <c r="S17" s="1"/>
      <c r="T17" s="1"/>
      <c r="U17" s="1"/>
      <c r="V17" s="1"/>
      <c r="W17" s="1"/>
      <c r="X17" s="1"/>
      <c r="Y17" s="1"/>
      <c r="Z17" s="1"/>
    </row>
    <row r="18" spans="1:26" ht="16">
      <c r="A18" s="3" t="s">
        <v>15</v>
      </c>
      <c r="B18" s="4" t="s">
        <v>16</v>
      </c>
      <c r="C18" s="1"/>
      <c r="D18" s="1"/>
      <c r="E18" s="1"/>
      <c r="F18" s="1"/>
      <c r="G18" s="1"/>
      <c r="H18" s="1"/>
      <c r="I18" s="1"/>
      <c r="J18" s="1"/>
      <c r="K18" s="1"/>
      <c r="L18" s="1"/>
      <c r="M18" s="1"/>
      <c r="N18" s="1"/>
      <c r="O18" s="1"/>
      <c r="P18" s="1"/>
      <c r="Q18" s="1"/>
      <c r="R18" s="1"/>
      <c r="S18" s="1"/>
      <c r="T18" s="1"/>
      <c r="U18" s="1"/>
      <c r="V18" s="1"/>
      <c r="W18" s="1"/>
      <c r="X18" s="1"/>
      <c r="Y18" s="1"/>
      <c r="Z18" s="1"/>
    </row>
    <row r="19" spans="1:26" ht="16">
      <c r="A19" s="3" t="s">
        <v>17</v>
      </c>
      <c r="B19" s="4" t="s">
        <v>18</v>
      </c>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6.75" customHeight="1">
      <c r="A21" s="85" t="s">
        <v>19</v>
      </c>
      <c r="B21" s="85"/>
      <c r="C21" s="85"/>
      <c r="D21" s="85"/>
      <c r="E21" s="85"/>
      <c r="F21" s="85"/>
      <c r="G21" s="85"/>
      <c r="H21" s="85"/>
      <c r="I21" s="85"/>
      <c r="J21" s="85"/>
      <c r="K21" s="1"/>
      <c r="L21" s="1"/>
      <c r="M21" s="1"/>
      <c r="N21" s="1"/>
      <c r="O21" s="1"/>
      <c r="P21" s="1"/>
      <c r="Q21" s="1"/>
      <c r="R21" s="1"/>
      <c r="S21" s="1"/>
      <c r="T21" s="1"/>
      <c r="U21" s="1"/>
      <c r="V21" s="1"/>
      <c r="W21" s="1"/>
      <c r="X21" s="1"/>
      <c r="Y21" s="1"/>
      <c r="Z21" s="1"/>
    </row>
    <row r="22" spans="1:26" ht="16">
      <c r="A22" s="3" t="s">
        <v>20</v>
      </c>
      <c r="B22" s="4" t="s">
        <v>21</v>
      </c>
      <c r="C22" s="1"/>
      <c r="D22" s="1"/>
      <c r="E22" s="1"/>
      <c r="F22" s="1"/>
      <c r="G22" s="1"/>
      <c r="H22" s="1"/>
      <c r="I22" s="1"/>
      <c r="J22" s="1"/>
      <c r="K22" s="1"/>
      <c r="L22" s="1"/>
      <c r="M22" s="1"/>
      <c r="N22" s="1"/>
      <c r="O22" s="1"/>
      <c r="P22" s="1"/>
      <c r="Q22" s="1"/>
      <c r="R22" s="1"/>
      <c r="S22" s="1"/>
      <c r="T22" s="1"/>
      <c r="U22" s="1"/>
      <c r="V22" s="1"/>
      <c r="W22" s="1"/>
      <c r="X22" s="1"/>
      <c r="Y22" s="1"/>
      <c r="Z22" s="1"/>
    </row>
    <row r="23" spans="1:26" ht="16">
      <c r="A23" s="3" t="s">
        <v>22</v>
      </c>
      <c r="B23" s="4" t="s">
        <v>23</v>
      </c>
      <c r="C23" s="1"/>
      <c r="D23" s="1"/>
      <c r="E23" s="1"/>
      <c r="F23" s="1"/>
      <c r="G23" s="1"/>
      <c r="H23" s="1"/>
      <c r="I23" s="1"/>
      <c r="J23" s="1"/>
      <c r="K23" s="1"/>
      <c r="L23" s="1"/>
      <c r="M23" s="1"/>
      <c r="N23" s="1"/>
      <c r="O23" s="1"/>
      <c r="P23" s="1"/>
      <c r="Q23" s="1"/>
      <c r="R23" s="1"/>
      <c r="S23" s="1"/>
      <c r="T23" s="1"/>
      <c r="U23" s="1"/>
      <c r="V23" s="1"/>
      <c r="W23" s="1"/>
      <c r="X23" s="1"/>
      <c r="Y23" s="1"/>
      <c r="Z23" s="1"/>
    </row>
    <row r="24" spans="1:26" ht="16">
      <c r="A24" s="3" t="s">
        <v>24</v>
      </c>
      <c r="B24" s="4" t="s">
        <v>25</v>
      </c>
      <c r="C24" s="1"/>
      <c r="D24" s="1"/>
      <c r="E24" s="1"/>
      <c r="F24" s="1"/>
      <c r="G24" s="1"/>
      <c r="H24" s="1"/>
      <c r="I24" s="1"/>
      <c r="J24" s="1"/>
      <c r="K24" s="1"/>
      <c r="L24" s="1"/>
      <c r="M24" s="1"/>
      <c r="N24" s="1"/>
      <c r="O24" s="1"/>
      <c r="P24" s="1"/>
      <c r="Q24" s="1"/>
      <c r="R24" s="1"/>
      <c r="S24" s="1"/>
      <c r="T24" s="1"/>
      <c r="U24" s="1"/>
      <c r="V24" s="1"/>
      <c r="W24" s="1"/>
      <c r="X24" s="1"/>
      <c r="Y24" s="1"/>
      <c r="Z24" s="1"/>
    </row>
    <row r="25" spans="1:26" ht="16">
      <c r="A25" s="3" t="s">
        <v>26</v>
      </c>
      <c r="B25" s="4" t="s">
        <v>27</v>
      </c>
      <c r="C25" s="1"/>
      <c r="D25" s="1"/>
      <c r="E25" s="1"/>
      <c r="F25" s="1"/>
      <c r="G25" s="1"/>
      <c r="H25" s="1"/>
      <c r="I25" s="1"/>
      <c r="J25" s="1"/>
      <c r="K25" s="1"/>
      <c r="L25" s="1"/>
      <c r="M25" s="1"/>
      <c r="N25" s="1"/>
      <c r="O25" s="1"/>
      <c r="P25" s="1"/>
      <c r="Q25" s="1"/>
      <c r="R25" s="1"/>
      <c r="S25" s="1"/>
      <c r="T25" s="1"/>
      <c r="U25" s="1"/>
      <c r="V25" s="1"/>
      <c r="W25" s="1"/>
      <c r="X25" s="1"/>
      <c r="Y25" s="1"/>
      <c r="Z25" s="1"/>
    </row>
    <row r="26" spans="1:26" ht="16">
      <c r="A26" s="3" t="s">
        <v>28</v>
      </c>
      <c r="B26" s="4" t="s">
        <v>29</v>
      </c>
      <c r="C26" s="1"/>
      <c r="D26" s="1"/>
      <c r="E26" s="1"/>
      <c r="F26" s="1"/>
      <c r="G26" s="1"/>
      <c r="H26" s="1"/>
      <c r="I26" s="1"/>
      <c r="J26" s="1"/>
      <c r="K26" s="1"/>
      <c r="L26" s="1"/>
      <c r="M26" s="1"/>
      <c r="N26" s="1"/>
      <c r="O26" s="1"/>
      <c r="P26" s="1"/>
      <c r="Q26" s="1"/>
      <c r="R26" s="1"/>
      <c r="S26" s="1"/>
      <c r="T26" s="1"/>
      <c r="U26" s="1"/>
      <c r="V26" s="1"/>
      <c r="W26" s="1"/>
      <c r="X26" s="1"/>
      <c r="Y26" s="1"/>
      <c r="Z26" s="1"/>
    </row>
    <row r="27" spans="1:26" ht="16">
      <c r="A27" s="3" t="s">
        <v>30</v>
      </c>
      <c r="B27" s="4" t="s">
        <v>31</v>
      </c>
      <c r="C27" s="1"/>
      <c r="D27" s="1"/>
      <c r="E27" s="1"/>
      <c r="F27" s="1"/>
      <c r="G27" s="1"/>
      <c r="H27" s="1"/>
      <c r="I27" s="1"/>
      <c r="J27" s="1"/>
      <c r="K27" s="1"/>
      <c r="L27" s="1"/>
      <c r="M27" s="1"/>
      <c r="N27" s="1"/>
      <c r="O27" s="1"/>
      <c r="P27" s="1"/>
      <c r="Q27" s="1"/>
      <c r="R27" s="1"/>
      <c r="S27" s="1"/>
      <c r="T27" s="1"/>
      <c r="U27" s="1"/>
      <c r="V27" s="1"/>
      <c r="W27" s="1"/>
      <c r="X27" s="1"/>
      <c r="Y27" s="1"/>
      <c r="Z27" s="1"/>
    </row>
    <row r="28" spans="1:26" ht="16">
      <c r="A28" s="3" t="s">
        <v>32</v>
      </c>
      <c r="B28" s="4" t="s">
        <v>33</v>
      </c>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6.75" customHeight="1">
      <c r="A30" s="85" t="s">
        <v>34</v>
      </c>
      <c r="B30" s="85"/>
      <c r="C30" s="85"/>
      <c r="D30" s="85"/>
      <c r="E30" s="85"/>
      <c r="F30" s="85"/>
      <c r="G30" s="85"/>
      <c r="H30" s="85"/>
      <c r="I30" s="85"/>
      <c r="J30" s="85"/>
      <c r="K30" s="1"/>
      <c r="L30" s="1"/>
      <c r="M30" s="1"/>
      <c r="N30" s="1"/>
      <c r="O30" s="1"/>
      <c r="P30" s="1"/>
      <c r="Q30" s="1"/>
      <c r="R30" s="1"/>
      <c r="S30" s="1"/>
      <c r="T30" s="1"/>
      <c r="U30" s="1"/>
      <c r="V30" s="1"/>
      <c r="W30" s="1"/>
      <c r="X30" s="1"/>
      <c r="Y30" s="1"/>
      <c r="Z30" s="1"/>
    </row>
    <row r="31" spans="1:26">
      <c r="A31" s="89" t="s">
        <v>35</v>
      </c>
      <c r="B31" s="89"/>
      <c r="C31" s="89"/>
      <c r="D31" s="89"/>
      <c r="E31" s="89"/>
      <c r="F31" s="89"/>
      <c r="G31" s="89"/>
      <c r="H31" s="89"/>
      <c r="I31" s="89"/>
      <c r="J31" s="89"/>
      <c r="K31" s="1"/>
      <c r="L31" s="1"/>
      <c r="M31" s="1"/>
      <c r="N31" s="1"/>
      <c r="O31" s="1"/>
      <c r="P31" s="1"/>
      <c r="Q31" s="1"/>
      <c r="R31" s="1"/>
      <c r="S31" s="1"/>
      <c r="T31" s="1"/>
      <c r="U31" s="1"/>
      <c r="V31" s="1"/>
      <c r="W31" s="1"/>
      <c r="X31" s="1"/>
      <c r="Y31" s="1"/>
      <c r="Z31" s="1"/>
    </row>
    <row r="32" spans="1:26">
      <c r="A32" s="89"/>
      <c r="B32" s="89"/>
      <c r="C32" s="89"/>
      <c r="D32" s="89"/>
      <c r="E32" s="89"/>
      <c r="F32" s="89"/>
      <c r="G32" s="89"/>
      <c r="H32" s="89"/>
      <c r="I32" s="89"/>
      <c r="J32" s="89"/>
      <c r="K32" s="1"/>
      <c r="L32" s="1"/>
      <c r="M32" s="1"/>
      <c r="N32" s="1"/>
      <c r="O32" s="1"/>
      <c r="P32" s="1"/>
      <c r="Q32" s="1"/>
      <c r="R32" s="1"/>
      <c r="S32" s="1"/>
      <c r="T32" s="1"/>
      <c r="U32" s="1"/>
      <c r="V32" s="1"/>
      <c r="W32" s="1"/>
      <c r="X32" s="1"/>
      <c r="Y32" s="1"/>
      <c r="Z32" s="1"/>
    </row>
    <row r="33" spans="1:26">
      <c r="A33" s="89"/>
      <c r="B33" s="89"/>
      <c r="C33" s="89"/>
      <c r="D33" s="89"/>
      <c r="E33" s="89"/>
      <c r="F33" s="89"/>
      <c r="G33" s="89"/>
      <c r="H33" s="89"/>
      <c r="I33" s="89"/>
      <c r="J33" s="89"/>
      <c r="K33" s="1"/>
      <c r="L33" s="1"/>
      <c r="M33" s="1"/>
      <c r="N33" s="1"/>
      <c r="O33" s="1"/>
      <c r="P33" s="1"/>
      <c r="Q33" s="1"/>
      <c r="R33" s="1"/>
      <c r="S33" s="1"/>
      <c r="T33" s="1"/>
      <c r="U33" s="1"/>
      <c r="V33" s="1"/>
      <c r="W33" s="1"/>
      <c r="X33" s="1"/>
      <c r="Y33" s="1"/>
      <c r="Z33" s="1"/>
    </row>
    <row r="34" spans="1:26">
      <c r="A34" s="89"/>
      <c r="B34" s="89"/>
      <c r="C34" s="89"/>
      <c r="D34" s="89"/>
      <c r="E34" s="89"/>
      <c r="F34" s="89"/>
      <c r="G34" s="89"/>
      <c r="H34" s="89"/>
      <c r="I34" s="89"/>
      <c r="J34" s="89"/>
      <c r="K34" s="1"/>
      <c r="L34" s="1"/>
      <c r="M34" s="1"/>
      <c r="N34" s="1"/>
      <c r="O34" s="1"/>
      <c r="P34" s="1"/>
      <c r="Q34" s="1"/>
      <c r="R34" s="1"/>
      <c r="S34" s="1"/>
      <c r="T34" s="1"/>
      <c r="U34" s="1"/>
      <c r="V34" s="1"/>
      <c r="W34" s="1"/>
      <c r="X34" s="1"/>
      <c r="Y34" s="1"/>
      <c r="Z34" s="1"/>
    </row>
    <row r="35" spans="1:26">
      <c r="A35" s="89"/>
      <c r="B35" s="89"/>
      <c r="C35" s="89"/>
      <c r="D35" s="89"/>
      <c r="E35" s="89"/>
      <c r="F35" s="89"/>
      <c r="G35" s="89"/>
      <c r="H35" s="89"/>
      <c r="I35" s="89"/>
      <c r="J35" s="89"/>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6.75" customHeight="1">
      <c r="A37" s="90" t="s">
        <v>36</v>
      </c>
      <c r="B37" s="90"/>
      <c r="C37" s="90"/>
      <c r="D37" s="90"/>
      <c r="E37" s="90"/>
      <c r="F37" s="90"/>
      <c r="G37" s="90"/>
      <c r="H37" s="90"/>
      <c r="I37" s="90"/>
      <c r="J37" s="90"/>
      <c r="K37" s="1"/>
      <c r="L37" s="1"/>
      <c r="M37" s="1"/>
      <c r="N37" s="1"/>
      <c r="O37" s="1"/>
      <c r="P37" s="1"/>
      <c r="Q37" s="1"/>
      <c r="R37" s="1"/>
      <c r="S37" s="1"/>
      <c r="T37" s="1"/>
      <c r="U37" s="1"/>
      <c r="V37" s="1"/>
      <c r="W37" s="1"/>
      <c r="X37" s="1"/>
      <c r="Y37" s="1"/>
      <c r="Z37" s="1"/>
    </row>
    <row r="38" spans="1:26">
      <c r="A38" s="91" t="s">
        <v>37</v>
      </c>
      <c r="B38" s="91"/>
      <c r="C38" s="91"/>
      <c r="D38" s="91"/>
      <c r="E38" s="91"/>
      <c r="F38" s="91"/>
      <c r="G38" s="91"/>
      <c r="H38" s="91"/>
      <c r="I38" s="91"/>
      <c r="J38" s="91"/>
      <c r="K38" s="1"/>
      <c r="L38" s="1"/>
      <c r="M38" s="1"/>
      <c r="N38" s="1"/>
      <c r="O38" s="1"/>
      <c r="P38" s="1"/>
      <c r="Q38" s="1"/>
      <c r="R38" s="1"/>
      <c r="S38" s="1"/>
      <c r="T38" s="1"/>
      <c r="U38" s="1"/>
      <c r="V38" s="1"/>
      <c r="W38" s="1"/>
      <c r="X38" s="1"/>
      <c r="Y38" s="1"/>
      <c r="Z38" s="1"/>
    </row>
    <row r="39" spans="1:26">
      <c r="A39" s="91"/>
      <c r="B39" s="91"/>
      <c r="C39" s="91"/>
      <c r="D39" s="91"/>
      <c r="E39" s="91"/>
      <c r="F39" s="91"/>
      <c r="G39" s="91"/>
      <c r="H39" s="91"/>
      <c r="I39" s="91"/>
      <c r="J39" s="91"/>
      <c r="K39" s="1"/>
      <c r="L39" s="1"/>
      <c r="M39" s="1"/>
      <c r="N39" s="1"/>
      <c r="O39" s="1"/>
      <c r="P39" s="1"/>
      <c r="Q39" s="1"/>
      <c r="R39" s="1"/>
      <c r="S39" s="1"/>
      <c r="T39" s="1"/>
      <c r="U39" s="1"/>
      <c r="V39" s="1"/>
      <c r="W39" s="1"/>
      <c r="X39" s="1"/>
      <c r="Y39" s="1"/>
      <c r="Z39" s="1"/>
    </row>
    <row r="40" spans="1:26">
      <c r="A40" s="91"/>
      <c r="B40" s="91"/>
      <c r="C40" s="91"/>
      <c r="D40" s="91"/>
      <c r="E40" s="91"/>
      <c r="F40" s="91"/>
      <c r="G40" s="91"/>
      <c r="H40" s="91"/>
      <c r="I40" s="91"/>
      <c r="J40" s="91"/>
      <c r="K40" s="1"/>
      <c r="L40" s="1"/>
      <c r="M40" s="1"/>
      <c r="N40" s="1"/>
      <c r="O40" s="1"/>
      <c r="P40" s="1"/>
      <c r="Q40" s="1"/>
      <c r="R40" s="1"/>
      <c r="S40" s="1"/>
      <c r="T40" s="1"/>
      <c r="U40" s="1"/>
      <c r="V40" s="1"/>
      <c r="W40" s="1"/>
      <c r="X40" s="1"/>
      <c r="Y40" s="1"/>
      <c r="Z40" s="1"/>
    </row>
    <row r="41" spans="1:26">
      <c r="A41" s="91"/>
      <c r="B41" s="91"/>
      <c r="C41" s="91"/>
      <c r="D41" s="91"/>
      <c r="E41" s="91"/>
      <c r="F41" s="91"/>
      <c r="G41" s="91"/>
      <c r="H41" s="91"/>
      <c r="I41" s="91"/>
      <c r="J41" s="91"/>
      <c r="K41" s="1"/>
      <c r="L41" s="1"/>
      <c r="M41" s="1"/>
      <c r="N41" s="1"/>
      <c r="O41" s="1"/>
      <c r="P41" s="1"/>
      <c r="Q41" s="1"/>
      <c r="R41" s="1"/>
      <c r="S41" s="1"/>
      <c r="T41" s="1"/>
      <c r="U41" s="1"/>
      <c r="V41" s="1"/>
      <c r="W41" s="1"/>
      <c r="X41" s="1"/>
      <c r="Y41" s="1"/>
      <c r="Z41" s="1"/>
    </row>
    <row r="42" spans="1:26">
      <c r="A42" s="91"/>
      <c r="B42" s="91"/>
      <c r="C42" s="91"/>
      <c r="D42" s="91"/>
      <c r="E42" s="91"/>
      <c r="F42" s="91"/>
      <c r="G42" s="91"/>
      <c r="H42" s="91"/>
      <c r="I42" s="91"/>
      <c r="J42" s="91"/>
      <c r="K42" s="1"/>
      <c r="L42" s="1"/>
      <c r="M42" s="1"/>
      <c r="N42" s="1"/>
      <c r="O42" s="1"/>
      <c r="P42" s="1"/>
      <c r="Q42" s="1"/>
      <c r="R42" s="1"/>
      <c r="S42" s="1"/>
      <c r="T42" s="1"/>
      <c r="U42" s="1"/>
      <c r="V42" s="1"/>
      <c r="W42" s="1"/>
      <c r="X42" s="1"/>
      <c r="Y42" s="1"/>
      <c r="Z42" s="1"/>
    </row>
    <row r="43" spans="1:26">
      <c r="A43" s="91"/>
      <c r="B43" s="91"/>
      <c r="C43" s="91"/>
      <c r="D43" s="91"/>
      <c r="E43" s="91"/>
      <c r="F43" s="91"/>
      <c r="G43" s="91"/>
      <c r="H43" s="91"/>
      <c r="I43" s="91"/>
      <c r="J43" s="91"/>
      <c r="K43" s="1"/>
      <c r="L43" s="1"/>
      <c r="M43" s="1"/>
      <c r="N43" s="1"/>
      <c r="O43" s="1"/>
      <c r="P43" s="1"/>
      <c r="Q43" s="1"/>
      <c r="R43" s="1"/>
      <c r="S43" s="1"/>
      <c r="T43" s="1"/>
      <c r="U43" s="1"/>
      <c r="V43" s="1"/>
      <c r="W43" s="1"/>
      <c r="X43" s="1"/>
      <c r="Y43" s="1"/>
      <c r="Z43" s="1"/>
    </row>
    <row r="44" spans="1:26">
      <c r="A44" s="91"/>
      <c r="B44" s="91"/>
      <c r="C44" s="91"/>
      <c r="D44" s="91"/>
      <c r="E44" s="91"/>
      <c r="F44" s="91"/>
      <c r="G44" s="91"/>
      <c r="H44" s="91"/>
      <c r="I44" s="91"/>
      <c r="J44" s="9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6.75" customHeight="1">
      <c r="A46" s="87" t="s">
        <v>38</v>
      </c>
      <c r="B46" s="87"/>
      <c r="C46" s="87"/>
      <c r="D46" s="87"/>
      <c r="E46" s="87"/>
      <c r="F46" s="87"/>
      <c r="G46" s="87"/>
      <c r="H46" s="87"/>
      <c r="I46" s="87"/>
      <c r="J46" s="87"/>
      <c r="K46" s="1"/>
      <c r="L46" s="1"/>
      <c r="M46" s="1"/>
      <c r="N46" s="1"/>
      <c r="O46" s="1"/>
      <c r="P46" s="1"/>
      <c r="Q46" s="1"/>
      <c r="R46" s="1"/>
      <c r="S46" s="1"/>
      <c r="T46" s="1"/>
      <c r="U46" s="1"/>
      <c r="V46" s="1"/>
      <c r="W46" s="1"/>
      <c r="X46" s="1"/>
      <c r="Y46" s="1"/>
      <c r="Z46" s="1"/>
    </row>
    <row r="47" spans="1:26">
      <c r="A47" s="88" t="s">
        <v>39</v>
      </c>
      <c r="B47" s="88"/>
      <c r="C47" s="88"/>
      <c r="D47" s="88"/>
      <c r="E47" s="88"/>
      <c r="F47" s="88"/>
      <c r="G47" s="88"/>
      <c r="H47" s="88"/>
      <c r="I47" s="88"/>
      <c r="J47" s="88"/>
      <c r="K47" s="1"/>
      <c r="L47" s="1"/>
      <c r="M47" s="1"/>
      <c r="N47" s="1"/>
      <c r="O47" s="1"/>
      <c r="P47" s="1"/>
      <c r="Q47" s="1"/>
      <c r="R47" s="1"/>
      <c r="S47" s="1"/>
      <c r="T47" s="1"/>
      <c r="U47" s="1"/>
      <c r="V47" s="1"/>
      <c r="W47" s="1"/>
      <c r="X47" s="1"/>
      <c r="Y47" s="1"/>
      <c r="Z47" s="1"/>
    </row>
    <row r="48" spans="1:26">
      <c r="A48" s="88"/>
      <c r="B48" s="88"/>
      <c r="C48" s="88"/>
      <c r="D48" s="88"/>
      <c r="E48" s="88"/>
      <c r="F48" s="88"/>
      <c r="G48" s="88"/>
      <c r="H48" s="88"/>
      <c r="I48" s="88"/>
      <c r="J48" s="88"/>
      <c r="K48" s="1"/>
      <c r="L48" s="1"/>
      <c r="M48" s="1"/>
      <c r="N48" s="1"/>
      <c r="O48" s="1"/>
      <c r="P48" s="1"/>
      <c r="Q48" s="1"/>
      <c r="R48" s="1"/>
      <c r="S48" s="1"/>
      <c r="T48" s="1"/>
      <c r="U48" s="1"/>
      <c r="V48" s="1"/>
      <c r="W48" s="1"/>
      <c r="X48" s="1"/>
      <c r="Y48" s="1"/>
      <c r="Z48" s="1"/>
    </row>
    <row r="49" spans="1:26">
      <c r="A49" s="88"/>
      <c r="B49" s="88"/>
      <c r="C49" s="88"/>
      <c r="D49" s="88"/>
      <c r="E49" s="88"/>
      <c r="F49" s="88"/>
      <c r="G49" s="88"/>
      <c r="H49" s="88"/>
      <c r="I49" s="88"/>
      <c r="J49" s="88"/>
      <c r="K49" s="1"/>
      <c r="L49" s="1"/>
      <c r="M49" s="1"/>
      <c r="N49" s="1"/>
      <c r="O49" s="1"/>
      <c r="P49" s="1"/>
      <c r="Q49" s="1"/>
      <c r="R49" s="1"/>
      <c r="S49" s="1"/>
      <c r="T49" s="1"/>
      <c r="U49" s="1"/>
      <c r="V49" s="1"/>
      <c r="W49" s="1"/>
      <c r="X49" s="1"/>
      <c r="Y49" s="1"/>
      <c r="Z49" s="1"/>
    </row>
    <row r="50" spans="1:26">
      <c r="A50" s="88"/>
      <c r="B50" s="88"/>
      <c r="C50" s="88"/>
      <c r="D50" s="88"/>
      <c r="E50" s="88"/>
      <c r="F50" s="88"/>
      <c r="G50" s="88"/>
      <c r="H50" s="88"/>
      <c r="I50" s="88"/>
      <c r="J50" s="88"/>
      <c r="K50" s="1"/>
      <c r="L50" s="1"/>
      <c r="M50" s="1"/>
      <c r="N50" s="1"/>
      <c r="O50" s="1"/>
      <c r="P50" s="1"/>
      <c r="Q50" s="1"/>
      <c r="R50" s="1"/>
      <c r="S50" s="1"/>
      <c r="T50" s="1"/>
      <c r="U50" s="1"/>
      <c r="V50" s="1"/>
      <c r="W50" s="1"/>
      <c r="X50" s="1"/>
      <c r="Y50" s="1"/>
      <c r="Z50" s="1"/>
    </row>
    <row r="51" spans="1:26">
      <c r="A51" s="88"/>
      <c r="B51" s="88"/>
      <c r="C51" s="88"/>
      <c r="D51" s="88"/>
      <c r="E51" s="88"/>
      <c r="F51" s="88"/>
      <c r="G51" s="88"/>
      <c r="H51" s="88"/>
      <c r="I51" s="88"/>
      <c r="J51" s="88"/>
      <c r="K51" s="1"/>
      <c r="L51" s="1"/>
      <c r="M51" s="1"/>
      <c r="N51" s="1"/>
      <c r="O51" s="1"/>
      <c r="P51" s="1"/>
      <c r="Q51" s="1"/>
      <c r="R51" s="1"/>
      <c r="S51" s="1"/>
      <c r="T51" s="1"/>
      <c r="U51" s="1"/>
      <c r="V51" s="1"/>
      <c r="W51" s="1"/>
      <c r="X51" s="1"/>
      <c r="Y51" s="1"/>
      <c r="Z51" s="1"/>
    </row>
    <row r="52" spans="1:26">
      <c r="A52" s="88"/>
      <c r="B52" s="88"/>
      <c r="C52" s="88"/>
      <c r="D52" s="88"/>
      <c r="E52" s="88"/>
      <c r="F52" s="88"/>
      <c r="G52" s="88"/>
      <c r="H52" s="88"/>
      <c r="I52" s="88"/>
      <c r="J52" s="88"/>
      <c r="K52" s="1"/>
      <c r="L52" s="1"/>
      <c r="M52" s="1"/>
      <c r="N52" s="1"/>
      <c r="O52" s="1"/>
      <c r="P52" s="1"/>
      <c r="Q52" s="1"/>
      <c r="R52" s="1"/>
      <c r="S52" s="1"/>
      <c r="T52" s="1"/>
      <c r="U52" s="1"/>
      <c r="V52" s="1"/>
      <c r="W52" s="1"/>
      <c r="X52" s="1"/>
      <c r="Y52" s="1"/>
      <c r="Z52" s="1"/>
    </row>
    <row r="53" spans="1:26">
      <c r="A53" s="88"/>
      <c r="B53" s="88"/>
      <c r="C53" s="88"/>
      <c r="D53" s="88"/>
      <c r="E53" s="88"/>
      <c r="F53" s="88"/>
      <c r="G53" s="88"/>
      <c r="H53" s="88"/>
      <c r="I53" s="88"/>
      <c r="J53" s="88"/>
      <c r="K53" s="1"/>
      <c r="L53" s="1"/>
      <c r="M53" s="1"/>
      <c r="N53" s="1"/>
      <c r="O53" s="1"/>
      <c r="P53" s="1"/>
      <c r="Q53" s="1"/>
      <c r="R53" s="1"/>
      <c r="S53" s="1"/>
      <c r="T53" s="1"/>
      <c r="U53" s="1"/>
      <c r="V53" s="1"/>
      <c r="W53" s="1"/>
      <c r="X53" s="1"/>
      <c r="Y53" s="1"/>
      <c r="Z53" s="1"/>
    </row>
    <row r="54" spans="1:26">
      <c r="A54" s="88"/>
      <c r="B54" s="88"/>
      <c r="C54" s="88"/>
      <c r="D54" s="88"/>
      <c r="E54" s="88"/>
      <c r="F54" s="88"/>
      <c r="G54" s="88"/>
      <c r="H54" s="88"/>
      <c r="I54" s="88"/>
      <c r="J54" s="88"/>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8" customHeight="1">
      <c r="A56" s="77" t="s">
        <v>40</v>
      </c>
      <c r="B56" s="77"/>
      <c r="C56" s="77"/>
      <c r="D56" s="77"/>
      <c r="E56" s="77"/>
      <c r="F56" s="77"/>
      <c r="G56" s="77"/>
      <c r="H56" s="77"/>
      <c r="I56" s="77"/>
      <c r="J56" s="77"/>
      <c r="K56" s="1"/>
      <c r="L56" s="1"/>
      <c r="M56" s="1"/>
      <c r="N56" s="1"/>
      <c r="O56" s="1"/>
      <c r="P56" s="1"/>
      <c r="Q56" s="1"/>
      <c r="R56" s="1"/>
      <c r="S56" s="1"/>
      <c r="T56" s="1"/>
      <c r="U56" s="1"/>
      <c r="V56" s="1"/>
      <c r="W56" s="1"/>
      <c r="X56" s="1"/>
      <c r="Y56" s="1"/>
      <c r="Z56" s="1"/>
    </row>
    <row r="57" spans="1:26">
      <c r="A57" s="81" t="s">
        <v>41</v>
      </c>
      <c r="B57" s="81"/>
      <c r="C57" s="81"/>
      <c r="D57" s="81"/>
      <c r="E57" s="81"/>
      <c r="F57" s="81"/>
      <c r="G57" s="81"/>
      <c r="H57" s="81"/>
      <c r="I57" s="81"/>
      <c r="J57" s="81"/>
      <c r="K57" s="1"/>
      <c r="L57" s="1"/>
      <c r="M57" s="1"/>
      <c r="N57" s="1"/>
      <c r="O57" s="1"/>
      <c r="P57" s="1"/>
      <c r="Q57" s="1"/>
      <c r="R57" s="1"/>
      <c r="S57" s="1"/>
      <c r="T57" s="1"/>
      <c r="U57" s="1"/>
      <c r="V57" s="1"/>
      <c r="W57" s="1"/>
      <c r="X57" s="1"/>
      <c r="Y57" s="1"/>
      <c r="Z57" s="1"/>
    </row>
    <row r="58" spans="1:26">
      <c r="A58" s="81"/>
      <c r="B58" s="81"/>
      <c r="C58" s="81"/>
      <c r="D58" s="81"/>
      <c r="E58" s="81"/>
      <c r="F58" s="81"/>
      <c r="G58" s="81"/>
      <c r="H58" s="81"/>
      <c r="I58" s="81"/>
      <c r="J58" s="81"/>
      <c r="K58" s="1"/>
      <c r="L58" s="1"/>
      <c r="M58" s="1"/>
      <c r="N58" s="1"/>
      <c r="O58" s="1"/>
      <c r="P58" s="1"/>
      <c r="Q58" s="1"/>
      <c r="R58" s="1"/>
      <c r="S58" s="1"/>
      <c r="T58" s="1"/>
      <c r="U58" s="1"/>
      <c r="V58" s="1"/>
      <c r="W58" s="1"/>
      <c r="X58" s="1"/>
      <c r="Y58" s="1"/>
      <c r="Z58" s="1"/>
    </row>
    <row r="59" spans="1:26">
      <c r="A59" s="81"/>
      <c r="B59" s="81"/>
      <c r="C59" s="81"/>
      <c r="D59" s="81"/>
      <c r="E59" s="81"/>
      <c r="F59" s="81"/>
      <c r="G59" s="81"/>
      <c r="H59" s="81"/>
      <c r="I59" s="81"/>
      <c r="J59" s="81"/>
      <c r="K59" s="1"/>
      <c r="L59" s="1"/>
      <c r="M59" s="1"/>
      <c r="N59" s="1"/>
      <c r="O59" s="1"/>
      <c r="P59" s="1"/>
      <c r="Q59" s="1"/>
      <c r="R59" s="1"/>
      <c r="S59" s="1"/>
      <c r="T59" s="1"/>
      <c r="U59" s="1"/>
      <c r="V59" s="1"/>
      <c r="W59" s="1"/>
      <c r="X59" s="1"/>
      <c r="Y59" s="1"/>
      <c r="Z59" s="1"/>
    </row>
    <row r="60" spans="1:26">
      <c r="A60" s="81"/>
      <c r="B60" s="81"/>
      <c r="C60" s="81"/>
      <c r="D60" s="81"/>
      <c r="E60" s="81"/>
      <c r="F60" s="81"/>
      <c r="G60" s="81"/>
      <c r="H60" s="81"/>
      <c r="I60" s="81"/>
      <c r="J60" s="81"/>
      <c r="K60" s="1"/>
      <c r="L60" s="1"/>
      <c r="M60" s="1"/>
      <c r="N60" s="1"/>
      <c r="O60" s="1"/>
      <c r="P60" s="1"/>
      <c r="Q60" s="1"/>
      <c r="R60" s="1"/>
      <c r="S60" s="1"/>
      <c r="T60" s="1"/>
      <c r="U60" s="1"/>
      <c r="V60" s="1"/>
      <c r="W60" s="1"/>
      <c r="X60" s="1"/>
      <c r="Y60" s="1"/>
      <c r="Z60" s="1"/>
    </row>
    <row r="61" spans="1:26">
      <c r="A61" s="81"/>
      <c r="B61" s="81"/>
      <c r="C61" s="81"/>
      <c r="D61" s="81"/>
      <c r="E61" s="81"/>
      <c r="F61" s="81"/>
      <c r="G61" s="81"/>
      <c r="H61" s="81"/>
      <c r="I61" s="81"/>
      <c r="J61" s="81"/>
      <c r="K61" s="1"/>
      <c r="L61" s="1"/>
      <c r="M61" s="1"/>
      <c r="N61" s="1"/>
      <c r="O61" s="1"/>
      <c r="P61" s="1"/>
      <c r="Q61" s="1"/>
      <c r="R61" s="1"/>
      <c r="S61" s="1"/>
      <c r="T61" s="1"/>
      <c r="U61" s="1"/>
      <c r="V61" s="1"/>
      <c r="W61" s="1"/>
      <c r="X61" s="1"/>
      <c r="Y61" s="1"/>
      <c r="Z61" s="1"/>
    </row>
    <row r="62" spans="1:26">
      <c r="A62" s="81"/>
      <c r="B62" s="81"/>
      <c r="C62" s="81"/>
      <c r="D62" s="81"/>
      <c r="E62" s="81"/>
      <c r="F62" s="81"/>
      <c r="G62" s="81"/>
      <c r="H62" s="81"/>
      <c r="I62" s="81"/>
      <c r="J62" s="81"/>
      <c r="K62" s="1"/>
      <c r="L62" s="1"/>
      <c r="M62" s="1"/>
      <c r="N62" s="1"/>
      <c r="O62" s="1"/>
      <c r="P62" s="1"/>
      <c r="Q62" s="1"/>
      <c r="R62" s="1"/>
      <c r="S62" s="1"/>
      <c r="T62" s="1"/>
      <c r="U62" s="1"/>
      <c r="V62" s="1"/>
      <c r="W62" s="1"/>
      <c r="X62" s="1"/>
      <c r="Y62" s="1"/>
      <c r="Z62" s="1"/>
    </row>
    <row r="63" spans="1:26">
      <c r="A63" s="81"/>
      <c r="B63" s="81"/>
      <c r="C63" s="81"/>
      <c r="D63" s="81"/>
      <c r="E63" s="81"/>
      <c r="F63" s="81"/>
      <c r="G63" s="81"/>
      <c r="H63" s="81"/>
      <c r="I63" s="81"/>
      <c r="J63" s="8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14">
    <mergeCell ref="A46:J46"/>
    <mergeCell ref="A47:J54"/>
    <mergeCell ref="A56:J56"/>
    <mergeCell ref="A57:J63"/>
    <mergeCell ref="A21:J21"/>
    <mergeCell ref="A30:J30"/>
    <mergeCell ref="A31:J35"/>
    <mergeCell ref="A37:J37"/>
    <mergeCell ref="A38:J44"/>
    <mergeCell ref="A1:J1"/>
    <mergeCell ref="A3:J3"/>
    <mergeCell ref="A5:J5"/>
    <mergeCell ref="A6:J10"/>
    <mergeCell ref="A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00"/>
  <sheetViews>
    <sheetView workbookViewId="0">
      <selection sqref="A1:H1"/>
    </sheetView>
  </sheetViews>
  <sheetFormatPr baseColWidth="10" defaultColWidth="8.83203125" defaultRowHeight="15"/>
  <cols>
    <col min="1" max="1" width="24" customWidth="1"/>
    <col min="2" max="7" width="16" customWidth="1"/>
    <col min="8" max="8" width="12" customWidth="1"/>
  </cols>
  <sheetData>
    <row r="1" spans="1:26" ht="37.25" customHeight="1">
      <c r="A1" s="83" t="s">
        <v>42</v>
      </c>
      <c r="B1" s="83"/>
      <c r="C1" s="83"/>
      <c r="D1" s="83"/>
      <c r="E1" s="83"/>
      <c r="F1" s="83"/>
      <c r="G1" s="83"/>
      <c r="H1" s="83"/>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92" t="s">
        <v>43</v>
      </c>
      <c r="B3" s="92"/>
      <c r="C3" s="92"/>
      <c r="D3" s="92"/>
      <c r="E3" s="92"/>
      <c r="F3" s="92"/>
      <c r="G3" s="92"/>
      <c r="H3" s="92"/>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ht="26.75" customHeight="1">
      <c r="A5" s="85" t="s">
        <v>44</v>
      </c>
      <c r="B5" s="85"/>
      <c r="C5" s="85"/>
      <c r="D5" s="85"/>
      <c r="E5" s="1"/>
      <c r="F5" s="1"/>
      <c r="G5" s="1"/>
      <c r="H5" s="1"/>
      <c r="I5" s="1"/>
      <c r="J5" s="1"/>
      <c r="K5" s="1"/>
      <c r="L5" s="1"/>
      <c r="M5" s="1"/>
      <c r="N5" s="1"/>
      <c r="O5" s="1"/>
      <c r="P5" s="1"/>
      <c r="Q5" s="1"/>
      <c r="R5" s="1"/>
      <c r="S5" s="1"/>
      <c r="T5" s="1"/>
      <c r="U5" s="1"/>
      <c r="V5" s="1"/>
      <c r="W5" s="1"/>
      <c r="X5" s="1"/>
      <c r="Y5" s="1"/>
      <c r="Z5" s="1"/>
    </row>
    <row r="6" spans="1:26">
      <c r="A6" s="5" t="s">
        <v>45</v>
      </c>
      <c r="B6" s="6" t="s">
        <v>46</v>
      </c>
      <c r="C6" s="1"/>
      <c r="D6" s="1"/>
      <c r="E6" s="1"/>
      <c r="F6" s="1"/>
      <c r="G6" s="1"/>
      <c r="H6" s="1"/>
      <c r="I6" s="1"/>
      <c r="J6" s="1"/>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ht="26.75" customHeight="1">
      <c r="A8" s="85" t="s">
        <v>47</v>
      </c>
      <c r="B8" s="85"/>
      <c r="C8" s="85"/>
      <c r="D8" s="85"/>
      <c r="E8" s="85"/>
      <c r="F8" s="85"/>
      <c r="G8" s="1"/>
      <c r="H8" s="1"/>
      <c r="I8" s="1"/>
      <c r="J8" s="1"/>
      <c r="K8" s="1"/>
      <c r="L8" s="1"/>
      <c r="M8" s="1"/>
      <c r="N8" s="1"/>
      <c r="O8" s="1"/>
      <c r="P8" s="1"/>
      <c r="Q8" s="1"/>
      <c r="R8" s="1"/>
      <c r="S8" s="1"/>
      <c r="T8" s="1"/>
      <c r="U8" s="1"/>
      <c r="V8" s="1"/>
      <c r="W8" s="1"/>
      <c r="X8" s="1"/>
      <c r="Y8" s="1"/>
      <c r="Z8" s="1"/>
    </row>
    <row r="9" spans="1:26" ht="16">
      <c r="A9" s="7" t="s">
        <v>48</v>
      </c>
      <c r="B9" s="7" t="s">
        <v>49</v>
      </c>
      <c r="C9" s="7" t="s">
        <v>50</v>
      </c>
      <c r="D9" s="7" t="s">
        <v>51</v>
      </c>
      <c r="E9" s="7" t="s">
        <v>52</v>
      </c>
      <c r="F9" s="7" t="s">
        <v>53</v>
      </c>
      <c r="G9" s="1"/>
      <c r="H9" s="1"/>
      <c r="I9" s="1"/>
      <c r="J9" s="1"/>
      <c r="K9" s="1"/>
      <c r="L9" s="1"/>
      <c r="M9" s="1"/>
      <c r="N9" s="1"/>
      <c r="O9" s="1"/>
      <c r="P9" s="1"/>
      <c r="Q9" s="1"/>
      <c r="R9" s="1"/>
      <c r="S9" s="1"/>
      <c r="T9" s="1"/>
      <c r="U9" s="1"/>
      <c r="V9" s="1"/>
      <c r="W9" s="1"/>
      <c r="X9" s="1"/>
      <c r="Y9" s="1"/>
      <c r="Z9" s="1"/>
    </row>
    <row r="10" spans="1:26">
      <c r="A10" s="8" t="s">
        <v>46</v>
      </c>
      <c r="B10" s="9">
        <v>1</v>
      </c>
      <c r="C10" s="9">
        <v>1</v>
      </c>
      <c r="D10" s="9">
        <v>1</v>
      </c>
      <c r="E10" s="9">
        <v>1</v>
      </c>
      <c r="F10" s="9">
        <v>1</v>
      </c>
      <c r="G10" s="1"/>
      <c r="H10" s="1"/>
      <c r="I10" s="1"/>
      <c r="J10" s="1"/>
      <c r="K10" s="1"/>
      <c r="L10" s="1"/>
      <c r="M10" s="1"/>
      <c r="N10" s="1"/>
      <c r="O10" s="1"/>
      <c r="P10" s="1"/>
      <c r="Q10" s="1"/>
      <c r="R10" s="1"/>
      <c r="S10" s="1"/>
      <c r="T10" s="1"/>
      <c r="U10" s="1"/>
      <c r="V10" s="1"/>
      <c r="W10" s="1"/>
      <c r="X10" s="1"/>
      <c r="Y10" s="1"/>
      <c r="Z10" s="1"/>
    </row>
    <row r="11" spans="1:26">
      <c r="A11" s="8" t="s">
        <v>54</v>
      </c>
      <c r="B11" s="9">
        <v>1.05</v>
      </c>
      <c r="C11" s="9">
        <v>1.01</v>
      </c>
      <c r="D11" s="9">
        <v>0.99</v>
      </c>
      <c r="E11" s="9">
        <v>1</v>
      </c>
      <c r="F11" s="9">
        <v>0.99</v>
      </c>
      <c r="G11" s="1"/>
      <c r="H11" s="1"/>
      <c r="I11" s="1"/>
      <c r="J11" s="1"/>
      <c r="K11" s="1"/>
      <c r="L11" s="1"/>
      <c r="M11" s="1"/>
      <c r="N11" s="1"/>
      <c r="O11" s="1"/>
      <c r="P11" s="1"/>
      <c r="Q11" s="1"/>
      <c r="R11" s="1"/>
      <c r="S11" s="1"/>
      <c r="T11" s="1"/>
      <c r="U11" s="1"/>
      <c r="V11" s="1"/>
      <c r="W11" s="1"/>
      <c r="X11" s="1"/>
      <c r="Y11" s="1"/>
      <c r="Z11" s="1"/>
    </row>
    <row r="12" spans="1:26">
      <c r="A12" s="8" t="s">
        <v>55</v>
      </c>
      <c r="B12" s="9">
        <v>0.93</v>
      </c>
      <c r="C12" s="9">
        <v>0.99</v>
      </c>
      <c r="D12" s="9">
        <v>1.0449999999999999</v>
      </c>
      <c r="E12" s="9">
        <v>1.06</v>
      </c>
      <c r="F12" s="9">
        <v>1.03</v>
      </c>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6.75" customHeight="1">
      <c r="A14" s="85" t="s">
        <v>56</v>
      </c>
      <c r="B14" s="85"/>
      <c r="C14" s="85"/>
      <c r="D14" s="85"/>
      <c r="E14" s="85"/>
      <c r="F14" s="85"/>
      <c r="G14" s="1"/>
      <c r="H14" s="1"/>
      <c r="I14" s="1"/>
      <c r="J14" s="1"/>
      <c r="K14" s="1"/>
      <c r="L14" s="1"/>
      <c r="M14" s="1"/>
      <c r="N14" s="1"/>
      <c r="O14" s="1"/>
      <c r="P14" s="1"/>
      <c r="Q14" s="1"/>
      <c r="R14" s="1"/>
      <c r="S14" s="1"/>
      <c r="T14" s="1"/>
      <c r="U14" s="1"/>
      <c r="V14" s="1"/>
      <c r="W14" s="1"/>
      <c r="X14" s="1"/>
      <c r="Y14" s="1"/>
      <c r="Z14" s="1"/>
    </row>
    <row r="15" spans="1:26" ht="16">
      <c r="A15" s="7" t="s">
        <v>57</v>
      </c>
      <c r="B15" s="7" t="s">
        <v>49</v>
      </c>
      <c r="C15" s="7" t="s">
        <v>50</v>
      </c>
      <c r="D15" s="7" t="s">
        <v>51</v>
      </c>
      <c r="E15" s="7" t="s">
        <v>52</v>
      </c>
      <c r="F15" s="7" t="s">
        <v>53</v>
      </c>
      <c r="G15" s="1"/>
      <c r="H15" s="1"/>
      <c r="I15" s="1"/>
      <c r="J15" s="1"/>
      <c r="K15" s="1"/>
      <c r="L15" s="1"/>
      <c r="M15" s="1"/>
      <c r="N15" s="1"/>
      <c r="O15" s="1"/>
      <c r="P15" s="1"/>
      <c r="Q15" s="1"/>
      <c r="R15" s="1"/>
      <c r="S15" s="1"/>
      <c r="T15" s="1"/>
      <c r="U15" s="1"/>
      <c r="V15" s="1"/>
      <c r="W15" s="1"/>
      <c r="X15" s="1"/>
      <c r="Y15" s="1"/>
      <c r="Z15" s="1"/>
    </row>
    <row r="16" spans="1:26">
      <c r="A16" s="5" t="s">
        <v>58</v>
      </c>
      <c r="B16" s="10">
        <f>IF($B$6="Upside",B11,IF($B$6="Downside",B12,B10))</f>
        <v>1</v>
      </c>
      <c r="C16" s="10">
        <f>IF($B$6="Upside",C11,IF($B$6="Downside",C12,C10))</f>
        <v>1</v>
      </c>
      <c r="D16" s="10">
        <f>IF($B$6="Upside",D11,IF($B$6="Downside",D12,D10))</f>
        <v>1</v>
      </c>
      <c r="E16" s="10">
        <f>IF($B$6="Upside",E11,IF($B$6="Downside",E12,E10))</f>
        <v>1</v>
      </c>
      <c r="F16" s="10">
        <f>IF($B$6="Upside",F11,IF($B$6="Downside",F12,F10))</f>
        <v>1</v>
      </c>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26.75" customHeight="1">
      <c r="A18" s="85" t="s">
        <v>59</v>
      </c>
      <c r="B18" s="85"/>
      <c r="C18" s="85"/>
      <c r="D18" s="85"/>
      <c r="E18" s="85"/>
      <c r="F18" s="85"/>
      <c r="G18" s="85"/>
      <c r="H18" s="1"/>
      <c r="I18" s="1"/>
      <c r="J18" s="1"/>
      <c r="K18" s="1"/>
      <c r="L18" s="1"/>
      <c r="M18" s="1"/>
      <c r="N18" s="1"/>
      <c r="O18" s="1"/>
      <c r="P18" s="1"/>
      <c r="Q18" s="1"/>
      <c r="R18" s="1"/>
      <c r="S18" s="1"/>
      <c r="T18" s="1"/>
      <c r="U18" s="1"/>
      <c r="V18" s="1"/>
      <c r="W18" s="1"/>
      <c r="X18" s="1"/>
      <c r="Y18" s="1"/>
      <c r="Z18" s="1"/>
    </row>
    <row r="19" spans="1:26" ht="32">
      <c r="A19" s="7" t="s">
        <v>60</v>
      </c>
      <c r="B19" s="7" t="s">
        <v>61</v>
      </c>
      <c r="C19" s="7" t="s">
        <v>62</v>
      </c>
      <c r="D19" s="7" t="s">
        <v>63</v>
      </c>
      <c r="E19" s="7" t="s">
        <v>64</v>
      </c>
      <c r="F19" s="7" t="s">
        <v>65</v>
      </c>
      <c r="G19" s="7" t="s">
        <v>66</v>
      </c>
      <c r="H19" s="1"/>
      <c r="I19" s="1"/>
      <c r="J19" s="1"/>
      <c r="K19" s="1"/>
      <c r="L19" s="1"/>
      <c r="M19" s="1"/>
      <c r="N19" s="1"/>
      <c r="O19" s="1"/>
      <c r="P19" s="1"/>
      <c r="Q19" s="1"/>
      <c r="R19" s="1"/>
      <c r="S19" s="1"/>
      <c r="T19" s="1"/>
      <c r="U19" s="1"/>
      <c r="V19" s="1"/>
      <c r="W19" s="1"/>
      <c r="X19" s="1"/>
      <c r="Y19" s="1"/>
      <c r="Z19" s="1"/>
    </row>
    <row r="20" spans="1:26">
      <c r="A20" s="5" t="s">
        <v>67</v>
      </c>
      <c r="B20" s="11">
        <v>5.5E-2</v>
      </c>
      <c r="C20" s="11">
        <v>0.03</v>
      </c>
      <c r="D20" s="11">
        <v>3.5000000000000003E-2</v>
      </c>
      <c r="E20" s="11">
        <v>7.2999999999999995E-2</v>
      </c>
      <c r="F20" s="11">
        <v>0.04</v>
      </c>
      <c r="G20" s="11">
        <v>3.5000000000000003E-2</v>
      </c>
      <c r="H20" s="1"/>
      <c r="I20" s="1"/>
      <c r="J20" s="1"/>
      <c r="K20" s="1"/>
      <c r="L20" s="1"/>
      <c r="M20" s="1"/>
      <c r="N20" s="1"/>
      <c r="O20" s="1"/>
      <c r="P20" s="1"/>
      <c r="Q20" s="1"/>
      <c r="R20" s="1"/>
      <c r="S20" s="1"/>
      <c r="T20" s="1"/>
      <c r="U20" s="1"/>
      <c r="V20" s="1"/>
      <c r="W20" s="1"/>
      <c r="X20" s="1"/>
      <c r="Y20" s="1"/>
      <c r="Z20" s="1"/>
    </row>
    <row r="21" spans="1:26">
      <c r="A21" s="5" t="s">
        <v>68</v>
      </c>
      <c r="B21" s="11">
        <v>4.2000000000000003E-2</v>
      </c>
      <c r="C21" s="11">
        <v>2.8000000000000001E-2</v>
      </c>
      <c r="D21" s="11">
        <v>3.7999999999999999E-2</v>
      </c>
      <c r="E21" s="11">
        <v>6.0999999999999999E-2</v>
      </c>
      <c r="F21" s="11">
        <v>0.04</v>
      </c>
      <c r="G21" s="11">
        <v>3.5000000000000003E-2</v>
      </c>
      <c r="H21" s="1"/>
      <c r="I21" s="1"/>
      <c r="J21" s="1"/>
      <c r="K21" s="1"/>
      <c r="L21" s="1"/>
      <c r="M21" s="1"/>
      <c r="N21" s="1"/>
      <c r="O21" s="1"/>
      <c r="P21" s="1"/>
      <c r="Q21" s="1"/>
      <c r="R21" s="1"/>
      <c r="S21" s="1"/>
      <c r="T21" s="1"/>
      <c r="U21" s="1"/>
      <c r="V21" s="1"/>
      <c r="W21" s="1"/>
      <c r="X21" s="1"/>
      <c r="Y21" s="1"/>
      <c r="Z21" s="1"/>
    </row>
    <row r="22" spans="1:26">
      <c r="A22" s="5" t="s">
        <v>69</v>
      </c>
      <c r="B22" s="11">
        <v>0.08</v>
      </c>
      <c r="C22" s="11">
        <v>3.5000000000000003E-2</v>
      </c>
      <c r="D22" s="11">
        <v>4.2000000000000003E-2</v>
      </c>
      <c r="E22" s="11">
        <v>8.5000000000000006E-2</v>
      </c>
      <c r="F22" s="11">
        <v>4.4999999999999998E-2</v>
      </c>
      <c r="G22" s="11">
        <v>0.04</v>
      </c>
      <c r="H22" s="1"/>
      <c r="I22" s="1"/>
      <c r="J22" s="1"/>
      <c r="K22" s="1"/>
      <c r="L22" s="1"/>
      <c r="M22" s="1"/>
      <c r="N22" s="1"/>
      <c r="O22" s="1"/>
      <c r="P22" s="1"/>
      <c r="Q22" s="1"/>
      <c r="R22" s="1"/>
      <c r="S22" s="1"/>
      <c r="T22" s="1"/>
      <c r="U22" s="1"/>
      <c r="V22" s="1"/>
      <c r="W22" s="1"/>
      <c r="X22" s="1"/>
      <c r="Y22" s="1"/>
      <c r="Z22" s="1"/>
    </row>
    <row r="23" spans="1:26">
      <c r="A23" s="5" t="s">
        <v>70</v>
      </c>
      <c r="B23" s="11">
        <v>6.8000000000000005E-2</v>
      </c>
      <c r="C23" s="11">
        <v>3.2000000000000001E-2</v>
      </c>
      <c r="D23" s="11">
        <v>0.04</v>
      </c>
      <c r="E23" s="11">
        <v>9.1999999999999998E-2</v>
      </c>
      <c r="F23" s="11">
        <v>4.4999999999999998E-2</v>
      </c>
      <c r="G23" s="11">
        <v>0.04</v>
      </c>
      <c r="H23" s="1"/>
      <c r="I23" s="1"/>
      <c r="J23" s="1"/>
      <c r="K23" s="1"/>
      <c r="L23" s="1"/>
      <c r="M23" s="1"/>
      <c r="N23" s="1"/>
      <c r="O23" s="1"/>
      <c r="P23" s="1"/>
      <c r="Q23" s="1"/>
      <c r="R23" s="1"/>
      <c r="S23" s="1"/>
      <c r="T23" s="1"/>
      <c r="U23" s="1"/>
      <c r="V23" s="1"/>
      <c r="W23" s="1"/>
      <c r="X23" s="1"/>
      <c r="Y23" s="1"/>
      <c r="Z23" s="1"/>
    </row>
    <row r="24" spans="1:26">
      <c r="A24" s="5" t="s">
        <v>71</v>
      </c>
      <c r="B24" s="11">
        <v>3.5000000000000003E-2</v>
      </c>
      <c r="C24" s="11">
        <v>2.5000000000000001E-2</v>
      </c>
      <c r="D24" s="11">
        <v>4.4999999999999998E-2</v>
      </c>
      <c r="E24" s="11">
        <v>6.7000000000000004E-2</v>
      </c>
      <c r="F24" s="11">
        <v>0.04</v>
      </c>
      <c r="G24" s="11">
        <v>4.4999999999999998E-2</v>
      </c>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6.75" customHeight="1">
      <c r="A26" s="85" t="s">
        <v>72</v>
      </c>
      <c r="B26" s="85"/>
      <c r="C26" s="85"/>
      <c r="D26" s="85"/>
      <c r="E26" s="85"/>
      <c r="F26" s="85"/>
      <c r="G26" s="85"/>
      <c r="H26" s="85"/>
      <c r="I26" s="1"/>
      <c r="J26" s="1"/>
      <c r="K26" s="1"/>
      <c r="L26" s="1"/>
      <c r="M26" s="1"/>
      <c r="N26" s="1"/>
      <c r="O26" s="1"/>
      <c r="P26" s="1"/>
      <c r="Q26" s="1"/>
      <c r="R26" s="1"/>
      <c r="S26" s="1"/>
      <c r="T26" s="1"/>
      <c r="U26" s="1"/>
      <c r="V26" s="1"/>
      <c r="W26" s="1"/>
      <c r="X26" s="1"/>
      <c r="Y26" s="1"/>
      <c r="Z26" s="1"/>
    </row>
    <row r="27" spans="1:26" ht="32">
      <c r="A27" s="3" t="s">
        <v>73</v>
      </c>
      <c r="B27" s="4" t="s">
        <v>74</v>
      </c>
      <c r="C27" s="1"/>
      <c r="D27" s="1"/>
      <c r="E27" s="1"/>
      <c r="F27" s="1"/>
      <c r="G27" s="1"/>
      <c r="H27" s="1"/>
      <c r="I27" s="1"/>
      <c r="J27" s="1"/>
      <c r="K27" s="1"/>
      <c r="L27" s="1"/>
      <c r="M27" s="1"/>
      <c r="N27" s="1"/>
      <c r="O27" s="1"/>
      <c r="P27" s="1"/>
      <c r="Q27" s="1"/>
      <c r="R27" s="1"/>
      <c r="S27" s="1"/>
      <c r="T27" s="1"/>
      <c r="U27" s="1"/>
      <c r="V27" s="1"/>
      <c r="W27" s="1"/>
      <c r="X27" s="1"/>
      <c r="Y27" s="1"/>
      <c r="Z27" s="1"/>
    </row>
    <row r="28" spans="1:26" ht="32">
      <c r="A28" s="3" t="s">
        <v>75</v>
      </c>
      <c r="B28" s="4" t="s">
        <v>76</v>
      </c>
      <c r="C28" s="1"/>
      <c r="D28" s="1"/>
      <c r="E28" s="1"/>
      <c r="F28" s="1"/>
      <c r="G28" s="1"/>
      <c r="H28" s="1"/>
      <c r="I28" s="1"/>
      <c r="J28" s="1"/>
      <c r="K28" s="1"/>
      <c r="L28" s="1"/>
      <c r="M28" s="1"/>
      <c r="N28" s="1"/>
      <c r="O28" s="1"/>
      <c r="P28" s="1"/>
      <c r="Q28" s="1"/>
      <c r="R28" s="1"/>
      <c r="S28" s="1"/>
      <c r="T28" s="1"/>
      <c r="U28" s="1"/>
      <c r="V28" s="1"/>
      <c r="W28" s="1"/>
      <c r="X28" s="1"/>
      <c r="Y28" s="1"/>
      <c r="Z28" s="1"/>
    </row>
    <row r="29" spans="1:26" ht="32">
      <c r="A29" s="3" t="s">
        <v>9</v>
      </c>
      <c r="B29" s="4" t="s">
        <v>77</v>
      </c>
      <c r="C29" s="1"/>
      <c r="D29" s="1"/>
      <c r="E29" s="1"/>
      <c r="F29" s="1"/>
      <c r="G29" s="1"/>
      <c r="H29" s="1"/>
      <c r="I29" s="1"/>
      <c r="J29" s="1"/>
      <c r="K29" s="1"/>
      <c r="L29" s="1"/>
      <c r="M29" s="1"/>
      <c r="N29" s="1"/>
      <c r="O29" s="1"/>
      <c r="P29" s="1"/>
      <c r="Q29" s="1"/>
      <c r="R29" s="1"/>
      <c r="S29" s="1"/>
      <c r="T29" s="1"/>
      <c r="U29" s="1"/>
      <c r="V29" s="1"/>
      <c r="W29" s="1"/>
      <c r="X29" s="1"/>
      <c r="Y29" s="1"/>
      <c r="Z29" s="1"/>
    </row>
    <row r="30" spans="1:26" ht="16">
      <c r="A30" s="3" t="s">
        <v>78</v>
      </c>
      <c r="B30" s="4" t="s">
        <v>79</v>
      </c>
      <c r="C30" s="1"/>
      <c r="D30" s="1"/>
      <c r="E30" s="1"/>
      <c r="F30" s="1"/>
      <c r="G30" s="1"/>
      <c r="H30" s="1"/>
      <c r="I30" s="1"/>
      <c r="J30" s="1"/>
      <c r="K30" s="1"/>
      <c r="L30" s="1"/>
      <c r="M30" s="1"/>
      <c r="N30" s="1"/>
      <c r="O30" s="1"/>
      <c r="P30" s="1"/>
      <c r="Q30" s="1"/>
      <c r="R30" s="1"/>
      <c r="S30" s="1"/>
      <c r="T30" s="1"/>
      <c r="U30" s="1"/>
      <c r="V30" s="1"/>
      <c r="W30" s="1"/>
      <c r="X30" s="1"/>
      <c r="Y30" s="1"/>
      <c r="Z30" s="1"/>
    </row>
    <row r="31" spans="1:26" ht="32">
      <c r="A31" s="3" t="s">
        <v>80</v>
      </c>
      <c r="B31" s="4" t="s">
        <v>81</v>
      </c>
      <c r="C31" s="1"/>
      <c r="D31" s="1"/>
      <c r="E31" s="1"/>
      <c r="F31" s="1"/>
      <c r="G31" s="1"/>
      <c r="H31" s="1"/>
      <c r="I31" s="1"/>
      <c r="J31" s="1"/>
      <c r="K31" s="1"/>
      <c r="L31" s="1"/>
      <c r="M31" s="1"/>
      <c r="N31" s="1"/>
      <c r="O31" s="1"/>
      <c r="P31" s="1"/>
      <c r="Q31" s="1"/>
      <c r="R31" s="1"/>
      <c r="S31" s="1"/>
      <c r="T31" s="1"/>
      <c r="U31" s="1"/>
      <c r="V31" s="1"/>
      <c r="W31" s="1"/>
      <c r="X31" s="1"/>
      <c r="Y31" s="1"/>
      <c r="Z31" s="1"/>
    </row>
    <row r="32" spans="1:26" ht="48">
      <c r="A32" s="3" t="s">
        <v>82</v>
      </c>
      <c r="B32" s="4" t="s">
        <v>83</v>
      </c>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7">
    <mergeCell ref="A18:G18"/>
    <mergeCell ref="A26:H26"/>
    <mergeCell ref="A1:H1"/>
    <mergeCell ref="A3:H3"/>
    <mergeCell ref="A5:D5"/>
    <mergeCell ref="A8:F8"/>
    <mergeCell ref="A14:F14"/>
  </mergeCells>
  <dataValidations count="1">
    <dataValidation type="list" sqref="B6" xr:uid="{00000000-0002-0000-0100-000000000000}">
      <formula1>"Base,Upside,Downside"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0"/>
  <sheetViews>
    <sheetView workbookViewId="0">
      <selection sqref="A1:O1"/>
    </sheetView>
  </sheetViews>
  <sheetFormatPr baseColWidth="10" defaultColWidth="8.83203125" defaultRowHeight="15"/>
  <cols>
    <col min="1" max="1" width="12" customWidth="1"/>
    <col min="2" max="2" width="22" customWidth="1"/>
    <col min="3" max="3" width="12" customWidth="1"/>
    <col min="4" max="4" width="13" customWidth="1"/>
    <col min="5" max="6" width="15" customWidth="1"/>
    <col min="7" max="7" width="14" customWidth="1"/>
    <col min="8" max="8" width="16" customWidth="1"/>
    <col min="9" max="9" width="10" customWidth="1"/>
    <col min="10" max="10" width="15" customWidth="1"/>
    <col min="11" max="11" width="14" customWidth="1"/>
    <col min="12" max="12" width="16" customWidth="1"/>
    <col min="13" max="13" width="15" customWidth="1"/>
    <col min="14" max="14" width="11" customWidth="1"/>
    <col min="15" max="15" width="10" customWidth="1"/>
  </cols>
  <sheetData>
    <row r="1" spans="1:26" ht="37.25" customHeight="1">
      <c r="A1" s="83" t="s">
        <v>84</v>
      </c>
      <c r="B1" s="83"/>
      <c r="C1" s="83"/>
      <c r="D1" s="83"/>
      <c r="E1" s="83"/>
      <c r="F1" s="83"/>
      <c r="G1" s="83"/>
      <c r="H1" s="83"/>
      <c r="I1" s="83"/>
      <c r="J1" s="83"/>
      <c r="K1" s="83"/>
      <c r="L1" s="83"/>
      <c r="M1" s="83"/>
      <c r="N1" s="83"/>
      <c r="O1" s="83"/>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32">
      <c r="A3" s="7" t="s">
        <v>85</v>
      </c>
      <c r="B3" s="7" t="s">
        <v>60</v>
      </c>
      <c r="C3" s="7" t="s">
        <v>78</v>
      </c>
      <c r="D3" s="7" t="s">
        <v>86</v>
      </c>
      <c r="E3" s="7" t="s">
        <v>87</v>
      </c>
      <c r="F3" s="7" t="s">
        <v>88</v>
      </c>
      <c r="G3" s="7" t="s">
        <v>89</v>
      </c>
      <c r="H3" s="7" t="s">
        <v>90</v>
      </c>
      <c r="I3" s="7" t="s">
        <v>91</v>
      </c>
      <c r="J3" s="7" t="s">
        <v>92</v>
      </c>
      <c r="K3" s="7" t="s">
        <v>93</v>
      </c>
      <c r="L3" s="7" t="s">
        <v>94</v>
      </c>
      <c r="M3" s="7" t="s">
        <v>95</v>
      </c>
      <c r="N3" s="7" t="s">
        <v>96</v>
      </c>
      <c r="O3" s="7" t="s">
        <v>97</v>
      </c>
      <c r="P3" s="1"/>
      <c r="Q3" s="1"/>
      <c r="R3" s="1"/>
      <c r="S3" s="1"/>
      <c r="T3" s="1"/>
      <c r="U3" s="1"/>
      <c r="V3" s="1"/>
      <c r="W3" s="1"/>
      <c r="X3" s="1"/>
      <c r="Y3" s="1"/>
      <c r="Z3" s="1"/>
    </row>
    <row r="4" spans="1:26">
      <c r="A4" s="12">
        <v>45292</v>
      </c>
      <c r="B4" s="8" t="s">
        <v>67</v>
      </c>
      <c r="C4" s="13">
        <v>110811</v>
      </c>
      <c r="D4" s="14">
        <v>8.34</v>
      </c>
      <c r="E4" s="15">
        <f t="shared" ref="E4:E35" si="0">C4*D4/1000</f>
        <v>924.16373999999996</v>
      </c>
      <c r="F4" s="14">
        <v>4.2300000000000004</v>
      </c>
      <c r="G4" s="15">
        <f t="shared" ref="G4:G35" si="1">C4*F4/1000</f>
        <v>468.73053000000004</v>
      </c>
      <c r="H4" s="15">
        <f t="shared" ref="H4:H35" si="2">E4-G4</f>
        <v>455.43320999999992</v>
      </c>
      <c r="I4" s="16">
        <f t="shared" ref="I4:I35" si="3">IFERROR(H4/E4,0)</f>
        <v>0.49280575539568339</v>
      </c>
      <c r="J4" s="17">
        <v>65.3</v>
      </c>
      <c r="K4" s="17">
        <v>119.4</v>
      </c>
      <c r="L4" s="17">
        <v>85</v>
      </c>
      <c r="M4" s="15">
        <f t="shared" ref="M4:M35" si="4">H4-J4-K4-L4</f>
        <v>185.73320999999987</v>
      </c>
      <c r="N4" s="16">
        <f t="shared" ref="N4:N35" si="5">IFERROR(M4/E4,0)</f>
        <v>0.20097435331102675</v>
      </c>
      <c r="O4" s="8" t="s">
        <v>98</v>
      </c>
      <c r="P4" s="1"/>
      <c r="Q4" s="1"/>
      <c r="R4" s="1"/>
      <c r="S4" s="1"/>
      <c r="T4" s="1"/>
      <c r="U4" s="1"/>
      <c r="V4" s="1"/>
      <c r="W4" s="1"/>
      <c r="X4" s="1"/>
      <c r="Y4" s="1"/>
      <c r="Z4" s="1"/>
    </row>
    <row r="5" spans="1:26">
      <c r="A5" s="12">
        <v>45292</v>
      </c>
      <c r="B5" s="8" t="s">
        <v>68</v>
      </c>
      <c r="C5" s="13">
        <v>88864</v>
      </c>
      <c r="D5" s="14">
        <v>10.130000000000001</v>
      </c>
      <c r="E5" s="15">
        <f t="shared" si="0"/>
        <v>900.19232000000011</v>
      </c>
      <c r="F5" s="14">
        <v>5.54</v>
      </c>
      <c r="G5" s="15">
        <f t="shared" si="1"/>
        <v>492.30655999999999</v>
      </c>
      <c r="H5" s="15">
        <f t="shared" si="2"/>
        <v>407.88576000000012</v>
      </c>
      <c r="I5" s="16">
        <f t="shared" si="3"/>
        <v>0.45310957551826264</v>
      </c>
      <c r="J5" s="17">
        <v>50.8</v>
      </c>
      <c r="K5" s="17">
        <v>100.6</v>
      </c>
      <c r="L5" s="17">
        <v>72</v>
      </c>
      <c r="M5" s="15">
        <f t="shared" si="4"/>
        <v>184.48576000000014</v>
      </c>
      <c r="N5" s="16">
        <f t="shared" si="5"/>
        <v>0.20494038429476949</v>
      </c>
      <c r="O5" s="8" t="s">
        <v>98</v>
      </c>
      <c r="P5" s="1"/>
      <c r="Q5" s="1"/>
      <c r="R5" s="1"/>
      <c r="S5" s="1"/>
      <c r="T5" s="1"/>
      <c r="U5" s="1"/>
      <c r="V5" s="1"/>
      <c r="W5" s="1"/>
      <c r="X5" s="1"/>
      <c r="Y5" s="1"/>
      <c r="Z5" s="1"/>
    </row>
    <row r="6" spans="1:26">
      <c r="A6" s="12">
        <v>45292</v>
      </c>
      <c r="B6" s="8" t="s">
        <v>69</v>
      </c>
      <c r="C6" s="13">
        <v>64741</v>
      </c>
      <c r="D6" s="14">
        <v>14.73</v>
      </c>
      <c r="E6" s="15">
        <f t="shared" si="0"/>
        <v>953.63493000000005</v>
      </c>
      <c r="F6" s="14">
        <v>7.63</v>
      </c>
      <c r="G6" s="15">
        <f t="shared" si="1"/>
        <v>493.97383000000002</v>
      </c>
      <c r="H6" s="15">
        <f t="shared" si="2"/>
        <v>459.66110000000003</v>
      </c>
      <c r="I6" s="16">
        <f t="shared" si="3"/>
        <v>0.48200950441276308</v>
      </c>
      <c r="J6" s="17">
        <v>79.7</v>
      </c>
      <c r="K6" s="17">
        <v>90.7</v>
      </c>
      <c r="L6" s="17">
        <v>66.400000000000006</v>
      </c>
      <c r="M6" s="15">
        <f t="shared" si="4"/>
        <v>222.86110000000005</v>
      </c>
      <c r="N6" s="16">
        <f t="shared" si="5"/>
        <v>0.23369645237302711</v>
      </c>
      <c r="O6" s="8" t="s">
        <v>98</v>
      </c>
      <c r="P6" s="1"/>
      <c r="Q6" s="1"/>
      <c r="R6" s="1"/>
      <c r="S6" s="1"/>
      <c r="T6" s="1"/>
      <c r="U6" s="1"/>
      <c r="V6" s="1"/>
      <c r="W6" s="1"/>
      <c r="X6" s="1"/>
      <c r="Y6" s="1"/>
      <c r="Z6" s="1"/>
    </row>
    <row r="7" spans="1:26">
      <c r="A7" s="12">
        <v>45292</v>
      </c>
      <c r="B7" s="8" t="s">
        <v>70</v>
      </c>
      <c r="C7" s="13">
        <v>57959</v>
      </c>
      <c r="D7" s="14">
        <v>12.3</v>
      </c>
      <c r="E7" s="15">
        <f t="shared" si="0"/>
        <v>712.89570000000003</v>
      </c>
      <c r="F7" s="14">
        <v>6.4</v>
      </c>
      <c r="G7" s="15">
        <f t="shared" si="1"/>
        <v>370.93760000000003</v>
      </c>
      <c r="H7" s="15">
        <f t="shared" si="2"/>
        <v>341.9581</v>
      </c>
      <c r="I7" s="16">
        <f t="shared" si="3"/>
        <v>0.47967479674796748</v>
      </c>
      <c r="J7" s="17">
        <v>66.900000000000006</v>
      </c>
      <c r="K7" s="17">
        <v>83.3</v>
      </c>
      <c r="L7" s="17">
        <v>59.5</v>
      </c>
      <c r="M7" s="15">
        <f t="shared" si="4"/>
        <v>132.25809999999996</v>
      </c>
      <c r="N7" s="16">
        <f t="shared" si="5"/>
        <v>0.1855223702429401</v>
      </c>
      <c r="O7" s="8" t="s">
        <v>98</v>
      </c>
      <c r="P7" s="1"/>
      <c r="Q7" s="1"/>
      <c r="R7" s="1"/>
      <c r="S7" s="1"/>
      <c r="T7" s="1"/>
      <c r="U7" s="1"/>
      <c r="V7" s="1"/>
      <c r="W7" s="1"/>
      <c r="X7" s="1"/>
      <c r="Y7" s="1"/>
      <c r="Z7" s="1"/>
    </row>
    <row r="8" spans="1:26">
      <c r="A8" s="12">
        <v>45292</v>
      </c>
      <c r="B8" s="8" t="s">
        <v>71</v>
      </c>
      <c r="C8" s="13">
        <v>46069</v>
      </c>
      <c r="D8" s="14">
        <v>19.45</v>
      </c>
      <c r="E8" s="15">
        <f t="shared" si="0"/>
        <v>896.0420499999999</v>
      </c>
      <c r="F8" s="14">
        <v>10.79</v>
      </c>
      <c r="G8" s="15">
        <f t="shared" si="1"/>
        <v>497.08450999999997</v>
      </c>
      <c r="H8" s="15">
        <f t="shared" si="2"/>
        <v>398.95753999999994</v>
      </c>
      <c r="I8" s="16">
        <f t="shared" si="3"/>
        <v>0.44524421593830332</v>
      </c>
      <c r="J8" s="17">
        <v>57</v>
      </c>
      <c r="K8" s="17">
        <v>77.3</v>
      </c>
      <c r="L8" s="17">
        <v>58.4</v>
      </c>
      <c r="M8" s="15">
        <f t="shared" si="4"/>
        <v>206.25753999999992</v>
      </c>
      <c r="N8" s="16">
        <f t="shared" si="5"/>
        <v>0.23018734444438177</v>
      </c>
      <c r="O8" s="8" t="s">
        <v>98</v>
      </c>
      <c r="P8" s="1"/>
      <c r="Q8" s="1"/>
      <c r="R8" s="1"/>
      <c r="S8" s="1"/>
      <c r="T8" s="1"/>
      <c r="U8" s="1"/>
      <c r="V8" s="1"/>
      <c r="W8" s="1"/>
      <c r="X8" s="1"/>
      <c r="Y8" s="1"/>
      <c r="Z8" s="1"/>
    </row>
    <row r="9" spans="1:26">
      <c r="A9" s="12">
        <v>45323</v>
      </c>
      <c r="B9" s="8" t="s">
        <v>67</v>
      </c>
      <c r="C9" s="13">
        <v>114510</v>
      </c>
      <c r="D9" s="14">
        <v>8.43</v>
      </c>
      <c r="E9" s="15">
        <f t="shared" si="0"/>
        <v>965.31929999999988</v>
      </c>
      <c r="F9" s="14">
        <v>4.25</v>
      </c>
      <c r="G9" s="15">
        <f t="shared" si="1"/>
        <v>486.66750000000002</v>
      </c>
      <c r="H9" s="15">
        <f t="shared" si="2"/>
        <v>478.65179999999987</v>
      </c>
      <c r="I9" s="16">
        <f t="shared" si="3"/>
        <v>0.49584816132858828</v>
      </c>
      <c r="J9" s="17">
        <v>76.8</v>
      </c>
      <c r="K9" s="17">
        <v>117.3</v>
      </c>
      <c r="L9" s="17">
        <v>84.3</v>
      </c>
      <c r="M9" s="15">
        <f t="shared" si="4"/>
        <v>200.25179999999983</v>
      </c>
      <c r="N9" s="16">
        <f t="shared" si="5"/>
        <v>0.20744617868926879</v>
      </c>
      <c r="O9" s="8" t="s">
        <v>98</v>
      </c>
      <c r="P9" s="1"/>
      <c r="Q9" s="1"/>
      <c r="R9" s="1"/>
      <c r="S9" s="1"/>
      <c r="T9" s="1"/>
      <c r="U9" s="1"/>
      <c r="V9" s="1"/>
      <c r="W9" s="1"/>
      <c r="X9" s="1"/>
      <c r="Y9" s="1"/>
      <c r="Z9" s="1"/>
    </row>
    <row r="10" spans="1:26">
      <c r="A10" s="12">
        <v>45323</v>
      </c>
      <c r="B10" s="8" t="s">
        <v>68</v>
      </c>
      <c r="C10" s="13">
        <v>90387</v>
      </c>
      <c r="D10" s="14">
        <v>10.220000000000001</v>
      </c>
      <c r="E10" s="15">
        <f t="shared" si="0"/>
        <v>923.75513999999998</v>
      </c>
      <c r="F10" s="14">
        <v>5.6</v>
      </c>
      <c r="G10" s="15">
        <f t="shared" si="1"/>
        <v>506.16719999999998</v>
      </c>
      <c r="H10" s="15">
        <f t="shared" si="2"/>
        <v>417.58794</v>
      </c>
      <c r="I10" s="16">
        <f t="shared" si="3"/>
        <v>0.45205479452054798</v>
      </c>
      <c r="J10" s="17">
        <v>57</v>
      </c>
      <c r="K10" s="17">
        <v>103</v>
      </c>
      <c r="L10" s="17">
        <v>69.7</v>
      </c>
      <c r="M10" s="15">
        <f t="shared" si="4"/>
        <v>187.88794000000001</v>
      </c>
      <c r="N10" s="16">
        <f t="shared" si="5"/>
        <v>0.20339582630089617</v>
      </c>
      <c r="O10" s="8" t="s">
        <v>98</v>
      </c>
      <c r="P10" s="1"/>
      <c r="Q10" s="1"/>
      <c r="R10" s="1"/>
      <c r="S10" s="1"/>
      <c r="T10" s="1"/>
      <c r="U10" s="1"/>
      <c r="V10" s="1"/>
      <c r="W10" s="1"/>
      <c r="X10" s="1"/>
      <c r="Y10" s="1"/>
      <c r="Z10" s="1"/>
    </row>
    <row r="11" spans="1:26">
      <c r="A11" s="12">
        <v>45323</v>
      </c>
      <c r="B11" s="8" t="s">
        <v>69</v>
      </c>
      <c r="C11" s="13">
        <v>67097</v>
      </c>
      <c r="D11" s="14">
        <v>14.75</v>
      </c>
      <c r="E11" s="15">
        <f t="shared" si="0"/>
        <v>989.68074999999999</v>
      </c>
      <c r="F11" s="14">
        <v>7.52</v>
      </c>
      <c r="G11" s="15">
        <f t="shared" si="1"/>
        <v>504.56943999999993</v>
      </c>
      <c r="H11" s="15">
        <f t="shared" si="2"/>
        <v>485.11131000000006</v>
      </c>
      <c r="I11" s="16">
        <f t="shared" si="3"/>
        <v>0.49016949152542377</v>
      </c>
      <c r="J11" s="17">
        <v>78.599999999999994</v>
      </c>
      <c r="K11" s="17">
        <v>90.2</v>
      </c>
      <c r="L11" s="17">
        <v>65</v>
      </c>
      <c r="M11" s="15">
        <f t="shared" si="4"/>
        <v>251.31131000000011</v>
      </c>
      <c r="N11" s="16">
        <f t="shared" si="5"/>
        <v>0.25393169463991305</v>
      </c>
      <c r="O11" s="8" t="s">
        <v>98</v>
      </c>
      <c r="P11" s="1"/>
      <c r="Q11" s="1"/>
      <c r="R11" s="1"/>
      <c r="S11" s="1"/>
      <c r="T11" s="1"/>
      <c r="U11" s="1"/>
      <c r="V11" s="1"/>
      <c r="W11" s="1"/>
      <c r="X11" s="1"/>
      <c r="Y11" s="1"/>
      <c r="Z11" s="1"/>
    </row>
    <row r="12" spans="1:26">
      <c r="A12" s="12">
        <v>45323</v>
      </c>
      <c r="B12" s="8" t="s">
        <v>70</v>
      </c>
      <c r="C12" s="13">
        <v>58500</v>
      </c>
      <c r="D12" s="14">
        <v>12.37</v>
      </c>
      <c r="E12" s="15">
        <f t="shared" si="0"/>
        <v>723.64499999999998</v>
      </c>
      <c r="F12" s="14">
        <v>6.33</v>
      </c>
      <c r="G12" s="15">
        <f t="shared" si="1"/>
        <v>370.30500000000001</v>
      </c>
      <c r="H12" s="15">
        <f t="shared" si="2"/>
        <v>353.34</v>
      </c>
      <c r="I12" s="16">
        <f t="shared" si="3"/>
        <v>0.48827809215844786</v>
      </c>
      <c r="J12" s="17">
        <v>62.8</v>
      </c>
      <c r="K12" s="17">
        <v>83</v>
      </c>
      <c r="L12" s="17">
        <v>62.9</v>
      </c>
      <c r="M12" s="15">
        <f t="shared" si="4"/>
        <v>144.63999999999996</v>
      </c>
      <c r="N12" s="16">
        <f t="shared" si="5"/>
        <v>0.19987701151807857</v>
      </c>
      <c r="O12" s="8" t="s">
        <v>98</v>
      </c>
      <c r="P12" s="1"/>
      <c r="Q12" s="1"/>
      <c r="R12" s="1"/>
      <c r="S12" s="1"/>
      <c r="T12" s="1"/>
      <c r="U12" s="1"/>
      <c r="V12" s="1"/>
      <c r="W12" s="1"/>
      <c r="X12" s="1"/>
      <c r="Y12" s="1"/>
      <c r="Z12" s="1"/>
    </row>
    <row r="13" spans="1:26">
      <c r="A13" s="12">
        <v>45323</v>
      </c>
      <c r="B13" s="8" t="s">
        <v>71</v>
      </c>
      <c r="C13" s="13">
        <v>46073</v>
      </c>
      <c r="D13" s="14">
        <v>19.53</v>
      </c>
      <c r="E13" s="15">
        <f t="shared" si="0"/>
        <v>899.80569000000003</v>
      </c>
      <c r="F13" s="14">
        <v>10.81</v>
      </c>
      <c r="G13" s="15">
        <f t="shared" si="1"/>
        <v>498.04912999999999</v>
      </c>
      <c r="H13" s="15">
        <f t="shared" si="2"/>
        <v>401.75656000000004</v>
      </c>
      <c r="I13" s="16">
        <f t="shared" si="3"/>
        <v>0.44649257552483362</v>
      </c>
      <c r="J13" s="17">
        <v>63.4</v>
      </c>
      <c r="K13" s="17">
        <v>74.7</v>
      </c>
      <c r="L13" s="17">
        <v>57.5</v>
      </c>
      <c r="M13" s="15">
        <f t="shared" si="4"/>
        <v>206.15656000000007</v>
      </c>
      <c r="N13" s="16">
        <f t="shared" si="5"/>
        <v>0.22911230979212863</v>
      </c>
      <c r="O13" s="8" t="s">
        <v>98</v>
      </c>
      <c r="P13" s="1"/>
      <c r="Q13" s="1"/>
      <c r="R13" s="1"/>
      <c r="S13" s="1"/>
      <c r="T13" s="1"/>
      <c r="U13" s="1"/>
      <c r="V13" s="1"/>
      <c r="W13" s="1"/>
      <c r="X13" s="1"/>
      <c r="Y13" s="1"/>
      <c r="Z13" s="1"/>
    </row>
    <row r="14" spans="1:26">
      <c r="A14" s="12">
        <v>45352</v>
      </c>
      <c r="B14" s="8" t="s">
        <v>67</v>
      </c>
      <c r="C14" s="13">
        <v>120823</v>
      </c>
      <c r="D14" s="14">
        <v>8.42</v>
      </c>
      <c r="E14" s="15">
        <f t="shared" si="0"/>
        <v>1017.32966</v>
      </c>
      <c r="F14" s="14">
        <v>4.26</v>
      </c>
      <c r="G14" s="15">
        <f t="shared" si="1"/>
        <v>514.70597999999995</v>
      </c>
      <c r="H14" s="15">
        <f t="shared" si="2"/>
        <v>502.62368000000004</v>
      </c>
      <c r="I14" s="16">
        <f t="shared" si="3"/>
        <v>0.494061757719715</v>
      </c>
      <c r="J14" s="17">
        <v>77.5</v>
      </c>
      <c r="K14" s="17">
        <v>120</v>
      </c>
      <c r="L14" s="17">
        <v>85.6</v>
      </c>
      <c r="M14" s="15">
        <f t="shared" si="4"/>
        <v>219.52368000000004</v>
      </c>
      <c r="N14" s="16">
        <f t="shared" si="5"/>
        <v>0.21578421295610317</v>
      </c>
      <c r="O14" s="8" t="s">
        <v>98</v>
      </c>
      <c r="P14" s="1"/>
      <c r="Q14" s="1"/>
      <c r="R14" s="1"/>
      <c r="S14" s="1"/>
      <c r="T14" s="1"/>
      <c r="U14" s="1"/>
      <c r="V14" s="1"/>
      <c r="W14" s="1"/>
      <c r="X14" s="1"/>
      <c r="Y14" s="1"/>
      <c r="Z14" s="1"/>
    </row>
    <row r="15" spans="1:26">
      <c r="A15" s="12">
        <v>45352</v>
      </c>
      <c r="B15" s="8" t="s">
        <v>68</v>
      </c>
      <c r="C15" s="13">
        <v>90324</v>
      </c>
      <c r="D15" s="14">
        <v>10.119999999999999</v>
      </c>
      <c r="E15" s="15">
        <f t="shared" si="0"/>
        <v>914.07887999999991</v>
      </c>
      <c r="F15" s="14">
        <v>5.53</v>
      </c>
      <c r="G15" s="15">
        <f t="shared" si="1"/>
        <v>499.49172000000004</v>
      </c>
      <c r="H15" s="15">
        <f t="shared" si="2"/>
        <v>414.58715999999987</v>
      </c>
      <c r="I15" s="16">
        <f t="shared" si="3"/>
        <v>0.45355731225296431</v>
      </c>
      <c r="J15" s="17">
        <v>53.7</v>
      </c>
      <c r="K15" s="17">
        <v>100.5</v>
      </c>
      <c r="L15" s="17">
        <v>74.2</v>
      </c>
      <c r="M15" s="15">
        <f t="shared" si="4"/>
        <v>186.18715999999989</v>
      </c>
      <c r="N15" s="16">
        <f t="shared" si="5"/>
        <v>0.20368828563241709</v>
      </c>
      <c r="O15" s="8" t="s">
        <v>98</v>
      </c>
      <c r="P15" s="1"/>
      <c r="Q15" s="1"/>
      <c r="R15" s="1"/>
      <c r="S15" s="1"/>
      <c r="T15" s="1"/>
      <c r="U15" s="1"/>
      <c r="V15" s="1"/>
      <c r="W15" s="1"/>
      <c r="X15" s="1"/>
      <c r="Y15" s="1"/>
      <c r="Z15" s="1"/>
    </row>
    <row r="16" spans="1:26">
      <c r="A16" s="12">
        <v>45352</v>
      </c>
      <c r="B16" s="8" t="s">
        <v>69</v>
      </c>
      <c r="C16" s="13">
        <v>73158</v>
      </c>
      <c r="D16" s="14">
        <v>14.76</v>
      </c>
      <c r="E16" s="15">
        <f t="shared" si="0"/>
        <v>1079.8120800000002</v>
      </c>
      <c r="F16" s="14">
        <v>7.63</v>
      </c>
      <c r="G16" s="15">
        <f t="shared" si="1"/>
        <v>558.19554000000005</v>
      </c>
      <c r="H16" s="15">
        <f t="shared" si="2"/>
        <v>521.6165400000001</v>
      </c>
      <c r="I16" s="16">
        <f t="shared" si="3"/>
        <v>0.48306233062330628</v>
      </c>
      <c r="J16" s="17">
        <v>88.1</v>
      </c>
      <c r="K16" s="17">
        <v>93.9</v>
      </c>
      <c r="L16" s="17">
        <v>65.8</v>
      </c>
      <c r="M16" s="15">
        <f t="shared" si="4"/>
        <v>273.81654000000009</v>
      </c>
      <c r="N16" s="16">
        <f t="shared" si="5"/>
        <v>0.25357795589765958</v>
      </c>
      <c r="O16" s="8" t="s">
        <v>98</v>
      </c>
      <c r="P16" s="1"/>
      <c r="Q16" s="1"/>
      <c r="R16" s="1"/>
      <c r="S16" s="1"/>
      <c r="T16" s="1"/>
      <c r="U16" s="1"/>
      <c r="V16" s="1"/>
      <c r="W16" s="1"/>
      <c r="X16" s="1"/>
      <c r="Y16" s="1"/>
      <c r="Z16" s="1"/>
    </row>
    <row r="17" spans="1:26">
      <c r="A17" s="12">
        <v>45352</v>
      </c>
      <c r="B17" s="8" t="s">
        <v>70</v>
      </c>
      <c r="C17" s="13">
        <v>59396</v>
      </c>
      <c r="D17" s="14">
        <v>12.35</v>
      </c>
      <c r="E17" s="15">
        <f t="shared" si="0"/>
        <v>733.54059999999993</v>
      </c>
      <c r="F17" s="14">
        <v>6.36</v>
      </c>
      <c r="G17" s="15">
        <f t="shared" si="1"/>
        <v>377.75855999999999</v>
      </c>
      <c r="H17" s="15">
        <f t="shared" si="2"/>
        <v>355.78203999999994</v>
      </c>
      <c r="I17" s="16">
        <f t="shared" si="3"/>
        <v>0.48502024291497975</v>
      </c>
      <c r="J17" s="17">
        <v>64.2</v>
      </c>
      <c r="K17" s="17">
        <v>84.4</v>
      </c>
      <c r="L17" s="17">
        <v>62.7</v>
      </c>
      <c r="M17" s="15">
        <f t="shared" si="4"/>
        <v>144.48203999999993</v>
      </c>
      <c r="N17" s="16">
        <f t="shared" si="5"/>
        <v>0.19696529408188168</v>
      </c>
      <c r="O17" s="8" t="s">
        <v>98</v>
      </c>
      <c r="P17" s="1"/>
      <c r="Q17" s="1"/>
      <c r="R17" s="1"/>
      <c r="S17" s="1"/>
      <c r="T17" s="1"/>
      <c r="U17" s="1"/>
      <c r="V17" s="1"/>
      <c r="W17" s="1"/>
      <c r="X17" s="1"/>
      <c r="Y17" s="1"/>
      <c r="Z17" s="1"/>
    </row>
    <row r="18" spans="1:26">
      <c r="A18" s="12">
        <v>45352</v>
      </c>
      <c r="B18" s="8" t="s">
        <v>71</v>
      </c>
      <c r="C18" s="13">
        <v>47185</v>
      </c>
      <c r="D18" s="14">
        <v>19.41</v>
      </c>
      <c r="E18" s="15">
        <f t="shared" si="0"/>
        <v>915.86085000000003</v>
      </c>
      <c r="F18" s="14">
        <v>11.03</v>
      </c>
      <c r="G18" s="15">
        <f t="shared" si="1"/>
        <v>520.45055000000002</v>
      </c>
      <c r="H18" s="15">
        <f t="shared" si="2"/>
        <v>395.41030000000001</v>
      </c>
      <c r="I18" s="16">
        <f t="shared" si="3"/>
        <v>0.43173621844410098</v>
      </c>
      <c r="J18" s="17">
        <v>62.4</v>
      </c>
      <c r="K18" s="17">
        <v>74.400000000000006</v>
      </c>
      <c r="L18" s="17">
        <v>56.2</v>
      </c>
      <c r="M18" s="15">
        <f t="shared" si="4"/>
        <v>202.41030000000006</v>
      </c>
      <c r="N18" s="16">
        <f t="shared" si="5"/>
        <v>0.22100551628557991</v>
      </c>
      <c r="O18" s="8" t="s">
        <v>98</v>
      </c>
      <c r="P18" s="1"/>
      <c r="Q18" s="1"/>
      <c r="R18" s="1"/>
      <c r="S18" s="1"/>
      <c r="T18" s="1"/>
      <c r="U18" s="1"/>
      <c r="V18" s="1"/>
      <c r="W18" s="1"/>
      <c r="X18" s="1"/>
      <c r="Y18" s="1"/>
      <c r="Z18" s="1"/>
    </row>
    <row r="19" spans="1:26">
      <c r="A19" s="12">
        <v>45383</v>
      </c>
      <c r="B19" s="8" t="s">
        <v>67</v>
      </c>
      <c r="C19" s="13">
        <v>114776</v>
      </c>
      <c r="D19" s="14">
        <v>8.42</v>
      </c>
      <c r="E19" s="15">
        <f t="shared" si="0"/>
        <v>966.41392000000008</v>
      </c>
      <c r="F19" s="14">
        <v>4.28</v>
      </c>
      <c r="G19" s="15">
        <f t="shared" si="1"/>
        <v>491.24128000000002</v>
      </c>
      <c r="H19" s="15">
        <f t="shared" si="2"/>
        <v>475.17264000000006</v>
      </c>
      <c r="I19" s="16">
        <f t="shared" si="3"/>
        <v>0.49168646080760098</v>
      </c>
      <c r="J19" s="17">
        <v>70.599999999999994</v>
      </c>
      <c r="K19" s="17">
        <v>115.4</v>
      </c>
      <c r="L19" s="17">
        <v>83.3</v>
      </c>
      <c r="M19" s="15">
        <f t="shared" si="4"/>
        <v>205.8726400000001</v>
      </c>
      <c r="N19" s="16">
        <f t="shared" si="5"/>
        <v>0.21302739513520261</v>
      </c>
      <c r="O19" s="8" t="s">
        <v>98</v>
      </c>
      <c r="P19" s="1"/>
      <c r="Q19" s="1"/>
      <c r="R19" s="1"/>
      <c r="S19" s="1"/>
      <c r="T19" s="1"/>
      <c r="U19" s="1"/>
      <c r="V19" s="1"/>
      <c r="W19" s="1"/>
      <c r="X19" s="1"/>
      <c r="Y19" s="1"/>
      <c r="Z19" s="1"/>
    </row>
    <row r="20" spans="1:26">
      <c r="A20" s="12">
        <v>45383</v>
      </c>
      <c r="B20" s="8" t="s">
        <v>68</v>
      </c>
      <c r="C20" s="13">
        <v>96230</v>
      </c>
      <c r="D20" s="14">
        <v>10.199999999999999</v>
      </c>
      <c r="E20" s="15">
        <f t="shared" si="0"/>
        <v>981.54599999999994</v>
      </c>
      <c r="F20" s="14">
        <v>5.61</v>
      </c>
      <c r="G20" s="15">
        <f t="shared" si="1"/>
        <v>539.85030000000006</v>
      </c>
      <c r="H20" s="15">
        <f t="shared" si="2"/>
        <v>441.69569999999987</v>
      </c>
      <c r="I20" s="16">
        <f t="shared" si="3"/>
        <v>0.4499999999999999</v>
      </c>
      <c r="J20" s="17">
        <v>63.4</v>
      </c>
      <c r="K20" s="17">
        <v>99.5</v>
      </c>
      <c r="L20" s="17">
        <v>73.099999999999994</v>
      </c>
      <c r="M20" s="15">
        <f t="shared" si="4"/>
        <v>205.6956999999999</v>
      </c>
      <c r="N20" s="16">
        <f t="shared" si="5"/>
        <v>0.20956297514329428</v>
      </c>
      <c r="O20" s="8" t="s">
        <v>98</v>
      </c>
      <c r="P20" s="1"/>
      <c r="Q20" s="1"/>
      <c r="R20" s="1"/>
      <c r="S20" s="1"/>
      <c r="T20" s="1"/>
      <c r="U20" s="1"/>
      <c r="V20" s="1"/>
      <c r="W20" s="1"/>
      <c r="X20" s="1"/>
      <c r="Y20" s="1"/>
      <c r="Z20" s="1"/>
    </row>
    <row r="21" spans="1:26">
      <c r="A21" s="12">
        <v>45383</v>
      </c>
      <c r="B21" s="8" t="s">
        <v>69</v>
      </c>
      <c r="C21" s="13">
        <v>72916</v>
      </c>
      <c r="D21" s="14">
        <v>14.81</v>
      </c>
      <c r="E21" s="15">
        <f t="shared" si="0"/>
        <v>1079.8859600000001</v>
      </c>
      <c r="F21" s="14">
        <v>7.56</v>
      </c>
      <c r="G21" s="15">
        <f t="shared" si="1"/>
        <v>551.24495999999999</v>
      </c>
      <c r="H21" s="15">
        <f t="shared" si="2"/>
        <v>528.64100000000008</v>
      </c>
      <c r="I21" s="16">
        <f t="shared" si="3"/>
        <v>0.48953409858203922</v>
      </c>
      <c r="J21" s="17">
        <v>91.6</v>
      </c>
      <c r="K21" s="17">
        <v>90.2</v>
      </c>
      <c r="L21" s="17">
        <v>65.7</v>
      </c>
      <c r="M21" s="15">
        <f t="shared" si="4"/>
        <v>281.14100000000008</v>
      </c>
      <c r="N21" s="16">
        <f t="shared" si="5"/>
        <v>0.26034323105747209</v>
      </c>
      <c r="O21" s="8" t="s">
        <v>98</v>
      </c>
      <c r="P21" s="1"/>
      <c r="Q21" s="1"/>
      <c r="R21" s="1"/>
      <c r="S21" s="1"/>
      <c r="T21" s="1"/>
      <c r="U21" s="1"/>
      <c r="V21" s="1"/>
      <c r="W21" s="1"/>
      <c r="X21" s="1"/>
      <c r="Y21" s="1"/>
      <c r="Z21" s="1"/>
    </row>
    <row r="22" spans="1:26">
      <c r="A22" s="12">
        <v>45383</v>
      </c>
      <c r="B22" s="8" t="s">
        <v>70</v>
      </c>
      <c r="C22" s="13">
        <v>60802</v>
      </c>
      <c r="D22" s="14">
        <v>12.49</v>
      </c>
      <c r="E22" s="15">
        <f t="shared" si="0"/>
        <v>759.41697999999997</v>
      </c>
      <c r="F22" s="14">
        <v>6.41</v>
      </c>
      <c r="G22" s="15">
        <f t="shared" si="1"/>
        <v>389.74081999999999</v>
      </c>
      <c r="H22" s="15">
        <f t="shared" si="2"/>
        <v>369.67615999999998</v>
      </c>
      <c r="I22" s="16">
        <f t="shared" si="3"/>
        <v>0.48678943154523618</v>
      </c>
      <c r="J22" s="17">
        <v>66.5</v>
      </c>
      <c r="K22" s="17">
        <v>84</v>
      </c>
      <c r="L22" s="17">
        <v>59.6</v>
      </c>
      <c r="M22" s="15">
        <f t="shared" si="4"/>
        <v>159.57615999999999</v>
      </c>
      <c r="N22" s="16">
        <f t="shared" si="5"/>
        <v>0.21012982880630349</v>
      </c>
      <c r="O22" s="8" t="s">
        <v>98</v>
      </c>
      <c r="P22" s="1"/>
      <c r="Q22" s="1"/>
      <c r="R22" s="1"/>
      <c r="S22" s="1"/>
      <c r="T22" s="1"/>
      <c r="U22" s="1"/>
      <c r="V22" s="1"/>
      <c r="W22" s="1"/>
      <c r="X22" s="1"/>
      <c r="Y22" s="1"/>
      <c r="Z22" s="1"/>
    </row>
    <row r="23" spans="1:26">
      <c r="A23" s="12">
        <v>45383</v>
      </c>
      <c r="B23" s="8" t="s">
        <v>71</v>
      </c>
      <c r="C23" s="13">
        <v>49386</v>
      </c>
      <c r="D23" s="14">
        <v>19.62</v>
      </c>
      <c r="E23" s="15">
        <f t="shared" si="0"/>
        <v>968.95332000000008</v>
      </c>
      <c r="F23" s="14">
        <v>10.85</v>
      </c>
      <c r="G23" s="15">
        <f t="shared" si="1"/>
        <v>535.83809999999994</v>
      </c>
      <c r="H23" s="15">
        <f t="shared" si="2"/>
        <v>433.11522000000014</v>
      </c>
      <c r="I23" s="16">
        <f t="shared" si="3"/>
        <v>0.44699286442405717</v>
      </c>
      <c r="J23" s="17">
        <v>67.3</v>
      </c>
      <c r="K23" s="17">
        <v>76.400000000000006</v>
      </c>
      <c r="L23" s="17">
        <v>56.6</v>
      </c>
      <c r="M23" s="15">
        <f t="shared" si="4"/>
        <v>232.8152200000001</v>
      </c>
      <c r="N23" s="16">
        <f t="shared" si="5"/>
        <v>0.24027495978856864</v>
      </c>
      <c r="O23" s="8" t="s">
        <v>98</v>
      </c>
      <c r="P23" s="1"/>
      <c r="Q23" s="1"/>
      <c r="R23" s="1"/>
      <c r="S23" s="1"/>
      <c r="T23" s="1"/>
      <c r="U23" s="1"/>
      <c r="V23" s="1"/>
      <c r="W23" s="1"/>
      <c r="X23" s="1"/>
      <c r="Y23" s="1"/>
      <c r="Z23" s="1"/>
    </row>
    <row r="24" spans="1:26">
      <c r="A24" s="12">
        <v>45413</v>
      </c>
      <c r="B24" s="8" t="s">
        <v>67</v>
      </c>
      <c r="C24" s="13">
        <v>123773</v>
      </c>
      <c r="D24" s="14">
        <v>8.41</v>
      </c>
      <c r="E24" s="15">
        <f t="shared" si="0"/>
        <v>1040.93093</v>
      </c>
      <c r="F24" s="14">
        <v>4.28</v>
      </c>
      <c r="G24" s="15">
        <f t="shared" si="1"/>
        <v>529.74844000000007</v>
      </c>
      <c r="H24" s="15">
        <f t="shared" si="2"/>
        <v>511.18248999999992</v>
      </c>
      <c r="I24" s="16">
        <f t="shared" si="3"/>
        <v>0.49108204518430432</v>
      </c>
      <c r="J24" s="17">
        <v>77.400000000000006</v>
      </c>
      <c r="K24" s="17">
        <v>115.1</v>
      </c>
      <c r="L24" s="17">
        <v>83</v>
      </c>
      <c r="M24" s="15">
        <f t="shared" si="4"/>
        <v>235.68248999999992</v>
      </c>
      <c r="N24" s="16">
        <f t="shared" si="5"/>
        <v>0.22641510902169074</v>
      </c>
      <c r="O24" s="8" t="s">
        <v>98</v>
      </c>
      <c r="P24" s="1"/>
      <c r="Q24" s="1"/>
      <c r="R24" s="1"/>
      <c r="S24" s="1"/>
      <c r="T24" s="1"/>
      <c r="U24" s="1"/>
      <c r="V24" s="1"/>
      <c r="W24" s="1"/>
      <c r="X24" s="1"/>
      <c r="Y24" s="1"/>
      <c r="Z24" s="1"/>
    </row>
    <row r="25" spans="1:26">
      <c r="A25" s="12">
        <v>45413</v>
      </c>
      <c r="B25" s="8" t="s">
        <v>68</v>
      </c>
      <c r="C25" s="13">
        <v>92568</v>
      </c>
      <c r="D25" s="14">
        <v>10.27</v>
      </c>
      <c r="E25" s="15">
        <f t="shared" si="0"/>
        <v>950.67336</v>
      </c>
      <c r="F25" s="14">
        <v>5.6</v>
      </c>
      <c r="G25" s="15">
        <f t="shared" si="1"/>
        <v>518.38080000000002</v>
      </c>
      <c r="H25" s="15">
        <f t="shared" si="2"/>
        <v>432.29255999999998</v>
      </c>
      <c r="I25" s="16">
        <f t="shared" si="3"/>
        <v>0.45472249269717624</v>
      </c>
      <c r="J25" s="17">
        <v>61.1</v>
      </c>
      <c r="K25" s="17">
        <v>101</v>
      </c>
      <c r="L25" s="17">
        <v>69.8</v>
      </c>
      <c r="M25" s="15">
        <f t="shared" si="4"/>
        <v>200.39255999999995</v>
      </c>
      <c r="N25" s="16">
        <f t="shared" si="5"/>
        <v>0.21079012879881262</v>
      </c>
      <c r="O25" s="8" t="s">
        <v>98</v>
      </c>
      <c r="P25" s="1"/>
      <c r="Q25" s="1"/>
      <c r="R25" s="1"/>
      <c r="S25" s="1"/>
      <c r="T25" s="1"/>
      <c r="U25" s="1"/>
      <c r="V25" s="1"/>
      <c r="W25" s="1"/>
      <c r="X25" s="1"/>
      <c r="Y25" s="1"/>
      <c r="Z25" s="1"/>
    </row>
    <row r="26" spans="1:26">
      <c r="A26" s="12">
        <v>45413</v>
      </c>
      <c r="B26" s="8" t="s">
        <v>69</v>
      </c>
      <c r="C26" s="13">
        <v>76122</v>
      </c>
      <c r="D26" s="14">
        <v>14.91</v>
      </c>
      <c r="E26" s="15">
        <f t="shared" si="0"/>
        <v>1134.97902</v>
      </c>
      <c r="F26" s="14">
        <v>7.52</v>
      </c>
      <c r="G26" s="15">
        <f t="shared" si="1"/>
        <v>572.43743999999992</v>
      </c>
      <c r="H26" s="15">
        <f t="shared" si="2"/>
        <v>562.54158000000007</v>
      </c>
      <c r="I26" s="16">
        <f t="shared" si="3"/>
        <v>0.49564050972501683</v>
      </c>
      <c r="J26" s="17">
        <v>94</v>
      </c>
      <c r="K26" s="17">
        <v>90</v>
      </c>
      <c r="L26" s="17">
        <v>67.2</v>
      </c>
      <c r="M26" s="15">
        <f t="shared" si="4"/>
        <v>311.34158000000008</v>
      </c>
      <c r="N26" s="16">
        <f t="shared" si="5"/>
        <v>0.27431483270941881</v>
      </c>
      <c r="O26" s="8" t="s">
        <v>98</v>
      </c>
      <c r="P26" s="1"/>
      <c r="Q26" s="1"/>
      <c r="R26" s="1"/>
      <c r="S26" s="1"/>
      <c r="T26" s="1"/>
      <c r="U26" s="1"/>
      <c r="V26" s="1"/>
      <c r="W26" s="1"/>
      <c r="X26" s="1"/>
      <c r="Y26" s="1"/>
      <c r="Z26" s="1"/>
    </row>
    <row r="27" spans="1:26">
      <c r="A27" s="12">
        <v>45413</v>
      </c>
      <c r="B27" s="8" t="s">
        <v>70</v>
      </c>
      <c r="C27" s="13">
        <v>63999</v>
      </c>
      <c r="D27" s="14">
        <v>12.33</v>
      </c>
      <c r="E27" s="15">
        <f t="shared" si="0"/>
        <v>789.1076700000001</v>
      </c>
      <c r="F27" s="14">
        <v>6.35</v>
      </c>
      <c r="G27" s="15">
        <f t="shared" si="1"/>
        <v>406.39364999999998</v>
      </c>
      <c r="H27" s="15">
        <f t="shared" si="2"/>
        <v>382.71402000000012</v>
      </c>
      <c r="I27" s="16">
        <f t="shared" si="3"/>
        <v>0.48499594484995956</v>
      </c>
      <c r="J27" s="17">
        <v>72.400000000000006</v>
      </c>
      <c r="K27" s="17">
        <v>83</v>
      </c>
      <c r="L27" s="17">
        <v>62.6</v>
      </c>
      <c r="M27" s="15">
        <f t="shared" si="4"/>
        <v>164.71402000000015</v>
      </c>
      <c r="N27" s="16">
        <f t="shared" si="5"/>
        <v>0.20873453175280901</v>
      </c>
      <c r="O27" s="8" t="s">
        <v>98</v>
      </c>
      <c r="P27" s="1"/>
      <c r="Q27" s="1"/>
      <c r="R27" s="1"/>
      <c r="S27" s="1"/>
      <c r="T27" s="1"/>
      <c r="U27" s="1"/>
      <c r="V27" s="1"/>
      <c r="W27" s="1"/>
      <c r="X27" s="1"/>
      <c r="Y27" s="1"/>
      <c r="Z27" s="1"/>
    </row>
    <row r="28" spans="1:26">
      <c r="A28" s="12">
        <v>45413</v>
      </c>
      <c r="B28" s="8" t="s">
        <v>71</v>
      </c>
      <c r="C28" s="13">
        <v>49174</v>
      </c>
      <c r="D28" s="14">
        <v>19.41</v>
      </c>
      <c r="E28" s="15">
        <f t="shared" si="0"/>
        <v>954.46733999999992</v>
      </c>
      <c r="F28" s="14">
        <v>10.91</v>
      </c>
      <c r="G28" s="15">
        <f t="shared" si="1"/>
        <v>536.48833999999999</v>
      </c>
      <c r="H28" s="15">
        <f t="shared" si="2"/>
        <v>417.97899999999993</v>
      </c>
      <c r="I28" s="16">
        <f t="shared" si="3"/>
        <v>0.43791859866048427</v>
      </c>
      <c r="J28" s="17">
        <v>67.3</v>
      </c>
      <c r="K28" s="17">
        <v>74.900000000000006</v>
      </c>
      <c r="L28" s="17">
        <v>57.2</v>
      </c>
      <c r="M28" s="15">
        <f t="shared" si="4"/>
        <v>218.57899999999989</v>
      </c>
      <c r="N28" s="16">
        <f t="shared" si="5"/>
        <v>0.22900626437359284</v>
      </c>
      <c r="O28" s="8" t="s">
        <v>98</v>
      </c>
      <c r="P28" s="1"/>
      <c r="Q28" s="1"/>
      <c r="R28" s="1"/>
      <c r="S28" s="1"/>
      <c r="T28" s="1"/>
      <c r="U28" s="1"/>
      <c r="V28" s="1"/>
      <c r="W28" s="1"/>
      <c r="X28" s="1"/>
      <c r="Y28" s="1"/>
      <c r="Z28" s="1"/>
    </row>
    <row r="29" spans="1:26">
      <c r="A29" s="12">
        <v>45444</v>
      </c>
      <c r="B29" s="8" t="s">
        <v>67</v>
      </c>
      <c r="C29" s="13">
        <v>128194</v>
      </c>
      <c r="D29" s="14">
        <v>8.42</v>
      </c>
      <c r="E29" s="15">
        <f t="shared" si="0"/>
        <v>1079.39348</v>
      </c>
      <c r="F29" s="14">
        <v>4.24</v>
      </c>
      <c r="G29" s="15">
        <f t="shared" si="1"/>
        <v>543.54256000000009</v>
      </c>
      <c r="H29" s="15">
        <f t="shared" si="2"/>
        <v>535.85091999999986</v>
      </c>
      <c r="I29" s="16">
        <f t="shared" si="3"/>
        <v>0.49643705463182886</v>
      </c>
      <c r="J29" s="17">
        <v>80.099999999999994</v>
      </c>
      <c r="K29" s="17">
        <v>115.8</v>
      </c>
      <c r="L29" s="17">
        <v>82.4</v>
      </c>
      <c r="M29" s="15">
        <f t="shared" si="4"/>
        <v>257.55091999999979</v>
      </c>
      <c r="N29" s="16">
        <f t="shared" si="5"/>
        <v>0.2386070740393946</v>
      </c>
      <c r="O29" s="8" t="s">
        <v>98</v>
      </c>
      <c r="P29" s="1"/>
      <c r="Q29" s="1"/>
      <c r="R29" s="1"/>
      <c r="S29" s="1"/>
      <c r="T29" s="1"/>
      <c r="U29" s="1"/>
      <c r="V29" s="1"/>
      <c r="W29" s="1"/>
      <c r="X29" s="1"/>
      <c r="Y29" s="1"/>
      <c r="Z29" s="1"/>
    </row>
    <row r="30" spans="1:26">
      <c r="A30" s="12">
        <v>45444</v>
      </c>
      <c r="B30" s="8" t="s">
        <v>68</v>
      </c>
      <c r="C30" s="13">
        <v>96543</v>
      </c>
      <c r="D30" s="14">
        <v>10.210000000000001</v>
      </c>
      <c r="E30" s="15">
        <f t="shared" si="0"/>
        <v>985.70402999999999</v>
      </c>
      <c r="F30" s="14">
        <v>5.51</v>
      </c>
      <c r="G30" s="15">
        <f t="shared" si="1"/>
        <v>531.95192999999995</v>
      </c>
      <c r="H30" s="15">
        <f t="shared" si="2"/>
        <v>453.75210000000004</v>
      </c>
      <c r="I30" s="16">
        <f t="shared" si="3"/>
        <v>0.46033300685602357</v>
      </c>
      <c r="J30" s="17">
        <v>57.5</v>
      </c>
      <c r="K30" s="17">
        <v>99.8</v>
      </c>
      <c r="L30" s="17">
        <v>72.7</v>
      </c>
      <c r="M30" s="15">
        <f t="shared" si="4"/>
        <v>223.75210000000004</v>
      </c>
      <c r="N30" s="16">
        <f t="shared" si="5"/>
        <v>0.22699724581627209</v>
      </c>
      <c r="O30" s="8" t="s">
        <v>98</v>
      </c>
      <c r="P30" s="1"/>
      <c r="Q30" s="1"/>
      <c r="R30" s="1"/>
      <c r="S30" s="1"/>
      <c r="T30" s="1"/>
      <c r="U30" s="1"/>
      <c r="V30" s="1"/>
      <c r="W30" s="1"/>
      <c r="X30" s="1"/>
      <c r="Y30" s="1"/>
      <c r="Z30" s="1"/>
    </row>
    <row r="31" spans="1:26">
      <c r="A31" s="12">
        <v>45444</v>
      </c>
      <c r="B31" s="8" t="s">
        <v>69</v>
      </c>
      <c r="C31" s="13">
        <v>74166</v>
      </c>
      <c r="D31" s="14">
        <v>14.9</v>
      </c>
      <c r="E31" s="15">
        <f t="shared" si="0"/>
        <v>1105.0734000000002</v>
      </c>
      <c r="F31" s="14">
        <v>7.67</v>
      </c>
      <c r="G31" s="15">
        <f t="shared" si="1"/>
        <v>568.85321999999996</v>
      </c>
      <c r="H31" s="15">
        <f t="shared" si="2"/>
        <v>536.22018000000025</v>
      </c>
      <c r="I31" s="16">
        <f t="shared" si="3"/>
        <v>0.48523489932885921</v>
      </c>
      <c r="J31" s="17">
        <v>85.4</v>
      </c>
      <c r="K31" s="17">
        <v>90.8</v>
      </c>
      <c r="L31" s="17">
        <v>66.8</v>
      </c>
      <c r="M31" s="15">
        <f t="shared" si="4"/>
        <v>293.22018000000025</v>
      </c>
      <c r="N31" s="16">
        <f t="shared" si="5"/>
        <v>0.26534000365948562</v>
      </c>
      <c r="O31" s="8" t="s">
        <v>98</v>
      </c>
      <c r="P31" s="1"/>
      <c r="Q31" s="1"/>
      <c r="R31" s="1"/>
      <c r="S31" s="1"/>
      <c r="T31" s="1"/>
      <c r="U31" s="1"/>
      <c r="V31" s="1"/>
      <c r="W31" s="1"/>
      <c r="X31" s="1"/>
      <c r="Y31" s="1"/>
      <c r="Z31" s="1"/>
    </row>
    <row r="32" spans="1:26">
      <c r="A32" s="12">
        <v>45444</v>
      </c>
      <c r="B32" s="8" t="s">
        <v>70</v>
      </c>
      <c r="C32" s="13">
        <v>62769</v>
      </c>
      <c r="D32" s="14">
        <v>12.33</v>
      </c>
      <c r="E32" s="15">
        <f t="shared" si="0"/>
        <v>773.94177000000002</v>
      </c>
      <c r="F32" s="14">
        <v>6.42</v>
      </c>
      <c r="G32" s="15">
        <f t="shared" si="1"/>
        <v>402.97697999999997</v>
      </c>
      <c r="H32" s="15">
        <f t="shared" si="2"/>
        <v>370.96479000000005</v>
      </c>
      <c r="I32" s="16">
        <f t="shared" si="3"/>
        <v>0.47931873479318743</v>
      </c>
      <c r="J32" s="17">
        <v>71.2</v>
      </c>
      <c r="K32" s="17">
        <v>83.9</v>
      </c>
      <c r="L32" s="17">
        <v>62.2</v>
      </c>
      <c r="M32" s="15">
        <f t="shared" si="4"/>
        <v>153.66479000000004</v>
      </c>
      <c r="N32" s="16">
        <f t="shared" si="5"/>
        <v>0.19854825770677817</v>
      </c>
      <c r="O32" s="8" t="s">
        <v>98</v>
      </c>
      <c r="P32" s="1"/>
      <c r="Q32" s="1"/>
      <c r="R32" s="1"/>
      <c r="S32" s="1"/>
      <c r="T32" s="1"/>
      <c r="U32" s="1"/>
      <c r="V32" s="1"/>
      <c r="W32" s="1"/>
      <c r="X32" s="1"/>
      <c r="Y32" s="1"/>
      <c r="Z32" s="1"/>
    </row>
    <row r="33" spans="1:26">
      <c r="A33" s="12">
        <v>45444</v>
      </c>
      <c r="B33" s="8" t="s">
        <v>71</v>
      </c>
      <c r="C33" s="13">
        <v>51485</v>
      </c>
      <c r="D33" s="14">
        <v>19.399999999999999</v>
      </c>
      <c r="E33" s="15">
        <f t="shared" si="0"/>
        <v>998.80899999999986</v>
      </c>
      <c r="F33" s="14">
        <v>10.79</v>
      </c>
      <c r="G33" s="15">
        <f t="shared" si="1"/>
        <v>555.52314999999987</v>
      </c>
      <c r="H33" s="15">
        <f t="shared" si="2"/>
        <v>443.28584999999998</v>
      </c>
      <c r="I33" s="16">
        <f t="shared" si="3"/>
        <v>0.44381443298969075</v>
      </c>
      <c r="J33" s="17">
        <v>67.2</v>
      </c>
      <c r="K33" s="17">
        <v>75.7</v>
      </c>
      <c r="L33" s="17">
        <v>57.9</v>
      </c>
      <c r="M33" s="15">
        <f t="shared" si="4"/>
        <v>242.48585</v>
      </c>
      <c r="N33" s="16">
        <f t="shared" si="5"/>
        <v>0.24277499501906774</v>
      </c>
      <c r="O33" s="8" t="s">
        <v>98</v>
      </c>
      <c r="P33" s="1"/>
      <c r="Q33" s="1"/>
      <c r="R33" s="1"/>
      <c r="S33" s="1"/>
      <c r="T33" s="1"/>
      <c r="U33" s="1"/>
      <c r="V33" s="1"/>
      <c r="W33" s="1"/>
      <c r="X33" s="1"/>
      <c r="Y33" s="1"/>
      <c r="Z33" s="1"/>
    </row>
    <row r="34" spans="1:26">
      <c r="A34" s="12">
        <v>45474</v>
      </c>
      <c r="B34" s="8" t="s">
        <v>67</v>
      </c>
      <c r="C34" s="13">
        <v>127086</v>
      </c>
      <c r="D34" s="14">
        <v>8.42</v>
      </c>
      <c r="E34" s="15">
        <f t="shared" si="0"/>
        <v>1070.0641199999998</v>
      </c>
      <c r="F34" s="14">
        <v>4.3</v>
      </c>
      <c r="G34" s="15">
        <f t="shared" si="1"/>
        <v>546.46979999999996</v>
      </c>
      <c r="H34" s="15">
        <f t="shared" si="2"/>
        <v>523.59431999999981</v>
      </c>
      <c r="I34" s="16">
        <f t="shared" si="3"/>
        <v>0.48931116389548684</v>
      </c>
      <c r="J34" s="17">
        <v>74.099999999999994</v>
      </c>
      <c r="K34" s="17">
        <v>117.4</v>
      </c>
      <c r="L34" s="17">
        <v>83.1</v>
      </c>
      <c r="M34" s="15">
        <f t="shared" si="4"/>
        <v>248.99431999999982</v>
      </c>
      <c r="N34" s="16">
        <f t="shared" si="5"/>
        <v>0.23269102789840282</v>
      </c>
      <c r="O34" s="8" t="s">
        <v>98</v>
      </c>
      <c r="P34" s="1"/>
      <c r="Q34" s="1"/>
      <c r="R34" s="1"/>
      <c r="S34" s="1"/>
      <c r="T34" s="1"/>
      <c r="U34" s="1"/>
      <c r="V34" s="1"/>
      <c r="W34" s="1"/>
      <c r="X34" s="1"/>
      <c r="Y34" s="1"/>
      <c r="Z34" s="1"/>
    </row>
    <row r="35" spans="1:26">
      <c r="A35" s="12">
        <v>45474</v>
      </c>
      <c r="B35" s="8" t="s">
        <v>68</v>
      </c>
      <c r="C35" s="13">
        <v>101076</v>
      </c>
      <c r="D35" s="14">
        <v>10.16</v>
      </c>
      <c r="E35" s="15">
        <f t="shared" si="0"/>
        <v>1026.9321600000001</v>
      </c>
      <c r="F35" s="14">
        <v>5.51</v>
      </c>
      <c r="G35" s="15">
        <f t="shared" si="1"/>
        <v>556.92876000000001</v>
      </c>
      <c r="H35" s="15">
        <f t="shared" si="2"/>
        <v>470.00340000000006</v>
      </c>
      <c r="I35" s="16">
        <f t="shared" si="3"/>
        <v>0.45767716535433073</v>
      </c>
      <c r="J35" s="17">
        <v>62.1</v>
      </c>
      <c r="K35" s="17">
        <v>101.6</v>
      </c>
      <c r="L35" s="17">
        <v>70.900000000000006</v>
      </c>
      <c r="M35" s="15">
        <f t="shared" si="4"/>
        <v>235.4034</v>
      </c>
      <c r="N35" s="16">
        <f t="shared" si="5"/>
        <v>0.22922974775665803</v>
      </c>
      <c r="O35" s="8" t="s">
        <v>98</v>
      </c>
      <c r="P35" s="1"/>
      <c r="Q35" s="1"/>
      <c r="R35" s="1"/>
      <c r="S35" s="1"/>
      <c r="T35" s="1"/>
      <c r="U35" s="1"/>
      <c r="V35" s="1"/>
      <c r="W35" s="1"/>
      <c r="X35" s="1"/>
      <c r="Y35" s="1"/>
      <c r="Z35" s="1"/>
    </row>
    <row r="36" spans="1:26">
      <c r="A36" s="12">
        <v>45474</v>
      </c>
      <c r="B36" s="8" t="s">
        <v>69</v>
      </c>
      <c r="C36" s="13">
        <v>74983</v>
      </c>
      <c r="D36" s="14">
        <v>14.9</v>
      </c>
      <c r="E36" s="15">
        <f t="shared" ref="E36:E67" si="6">C36*D36/1000</f>
        <v>1117.2466999999999</v>
      </c>
      <c r="F36" s="14">
        <v>7.59</v>
      </c>
      <c r="G36" s="15">
        <f t="shared" ref="G36:G67" si="7">C36*F36/1000</f>
        <v>569.12096999999994</v>
      </c>
      <c r="H36" s="15">
        <f t="shared" ref="H36:H67" si="8">E36-G36</f>
        <v>548.12572999999998</v>
      </c>
      <c r="I36" s="16">
        <f t="shared" ref="I36:I67" si="9">IFERROR(H36/E36,0)</f>
        <v>0.49060402684563759</v>
      </c>
      <c r="J36" s="17">
        <v>98.1</v>
      </c>
      <c r="K36" s="17">
        <v>92.2</v>
      </c>
      <c r="L36" s="17">
        <v>63.9</v>
      </c>
      <c r="M36" s="15">
        <f t="shared" ref="M36:M67" si="10">H36-J36-K36-L36</f>
        <v>293.92572999999999</v>
      </c>
      <c r="N36" s="16">
        <f t="shared" ref="N36:N67" si="11">IFERROR(M36/E36,0)</f>
        <v>0.26308041903368345</v>
      </c>
      <c r="O36" s="8" t="s">
        <v>98</v>
      </c>
      <c r="P36" s="1"/>
      <c r="Q36" s="1"/>
      <c r="R36" s="1"/>
      <c r="S36" s="1"/>
      <c r="T36" s="1"/>
      <c r="U36" s="1"/>
      <c r="V36" s="1"/>
      <c r="W36" s="1"/>
      <c r="X36" s="1"/>
      <c r="Y36" s="1"/>
      <c r="Z36" s="1"/>
    </row>
    <row r="37" spans="1:26">
      <c r="A37" s="12">
        <v>45474</v>
      </c>
      <c r="B37" s="8" t="s">
        <v>70</v>
      </c>
      <c r="C37" s="13">
        <v>66920</v>
      </c>
      <c r="D37" s="14">
        <v>12.47</v>
      </c>
      <c r="E37" s="15">
        <f t="shared" si="6"/>
        <v>834.49239999999998</v>
      </c>
      <c r="F37" s="14">
        <v>6.42</v>
      </c>
      <c r="G37" s="15">
        <f t="shared" si="7"/>
        <v>429.62640000000005</v>
      </c>
      <c r="H37" s="15">
        <f t="shared" si="8"/>
        <v>404.86599999999993</v>
      </c>
      <c r="I37" s="16">
        <f t="shared" si="9"/>
        <v>0.48516439454691251</v>
      </c>
      <c r="J37" s="17">
        <v>81.099999999999994</v>
      </c>
      <c r="K37" s="17">
        <v>85.5</v>
      </c>
      <c r="L37" s="17">
        <v>59.6</v>
      </c>
      <c r="M37" s="15">
        <f t="shared" si="10"/>
        <v>178.66599999999997</v>
      </c>
      <c r="N37" s="16">
        <f t="shared" si="11"/>
        <v>0.21410141062998295</v>
      </c>
      <c r="O37" s="8" t="s">
        <v>98</v>
      </c>
      <c r="P37" s="1"/>
      <c r="Q37" s="1"/>
      <c r="R37" s="1"/>
      <c r="S37" s="1"/>
      <c r="T37" s="1"/>
      <c r="U37" s="1"/>
      <c r="V37" s="1"/>
      <c r="W37" s="1"/>
      <c r="X37" s="1"/>
      <c r="Y37" s="1"/>
      <c r="Z37" s="1"/>
    </row>
    <row r="38" spans="1:26">
      <c r="A38" s="12">
        <v>45474</v>
      </c>
      <c r="B38" s="8" t="s">
        <v>71</v>
      </c>
      <c r="C38" s="13">
        <v>50829</v>
      </c>
      <c r="D38" s="14">
        <v>19.41</v>
      </c>
      <c r="E38" s="15">
        <f t="shared" si="6"/>
        <v>986.59089000000006</v>
      </c>
      <c r="F38" s="14">
        <v>10.87</v>
      </c>
      <c r="G38" s="15">
        <f t="shared" si="7"/>
        <v>552.51122999999995</v>
      </c>
      <c r="H38" s="15">
        <f t="shared" si="8"/>
        <v>434.0796600000001</v>
      </c>
      <c r="I38" s="16">
        <f t="shared" si="9"/>
        <v>0.43997939206594544</v>
      </c>
      <c r="J38" s="17">
        <v>62.4</v>
      </c>
      <c r="K38" s="17">
        <v>75.5</v>
      </c>
      <c r="L38" s="17">
        <v>60</v>
      </c>
      <c r="M38" s="15">
        <f t="shared" si="10"/>
        <v>236.17966000000013</v>
      </c>
      <c r="N38" s="16">
        <f t="shared" si="11"/>
        <v>0.23938966231484268</v>
      </c>
      <c r="O38" s="8" t="s">
        <v>98</v>
      </c>
      <c r="P38" s="1"/>
      <c r="Q38" s="1"/>
      <c r="R38" s="1"/>
      <c r="S38" s="1"/>
      <c r="T38" s="1"/>
      <c r="U38" s="1"/>
      <c r="V38" s="1"/>
      <c r="W38" s="1"/>
      <c r="X38" s="1"/>
      <c r="Y38" s="1"/>
      <c r="Z38" s="1"/>
    </row>
    <row r="39" spans="1:26">
      <c r="A39" s="12">
        <v>45505</v>
      </c>
      <c r="B39" s="8" t="s">
        <v>67</v>
      </c>
      <c r="C39" s="13">
        <v>118382</v>
      </c>
      <c r="D39" s="14">
        <v>8.44</v>
      </c>
      <c r="E39" s="15">
        <f t="shared" si="6"/>
        <v>999.14407999999992</v>
      </c>
      <c r="F39" s="14">
        <v>4.25</v>
      </c>
      <c r="G39" s="15">
        <f t="shared" si="7"/>
        <v>503.12349999999998</v>
      </c>
      <c r="H39" s="15">
        <f t="shared" si="8"/>
        <v>496.02057999999994</v>
      </c>
      <c r="I39" s="16">
        <f t="shared" si="9"/>
        <v>0.49644549763033174</v>
      </c>
      <c r="J39" s="17">
        <v>73</v>
      </c>
      <c r="K39" s="17">
        <v>120.7</v>
      </c>
      <c r="L39" s="17">
        <v>86.9</v>
      </c>
      <c r="M39" s="15">
        <f t="shared" si="10"/>
        <v>215.42057999999994</v>
      </c>
      <c r="N39" s="16">
        <f t="shared" si="11"/>
        <v>0.2156051207349394</v>
      </c>
      <c r="O39" s="8" t="s">
        <v>98</v>
      </c>
      <c r="P39" s="1"/>
      <c r="Q39" s="1"/>
      <c r="R39" s="1"/>
      <c r="S39" s="1"/>
      <c r="T39" s="1"/>
      <c r="U39" s="1"/>
      <c r="V39" s="1"/>
      <c r="W39" s="1"/>
      <c r="X39" s="1"/>
      <c r="Y39" s="1"/>
      <c r="Z39" s="1"/>
    </row>
    <row r="40" spans="1:26">
      <c r="A40" s="12">
        <v>45505</v>
      </c>
      <c r="B40" s="8" t="s">
        <v>68</v>
      </c>
      <c r="C40" s="13">
        <v>95230</v>
      </c>
      <c r="D40" s="14">
        <v>10.24</v>
      </c>
      <c r="E40" s="15">
        <f t="shared" si="6"/>
        <v>975.15520000000004</v>
      </c>
      <c r="F40" s="14">
        <v>5.5</v>
      </c>
      <c r="G40" s="15">
        <f t="shared" si="7"/>
        <v>523.76499999999999</v>
      </c>
      <c r="H40" s="15">
        <f t="shared" si="8"/>
        <v>451.39020000000005</v>
      </c>
      <c r="I40" s="16">
        <f t="shared" si="9"/>
        <v>0.46289062500000006</v>
      </c>
      <c r="J40" s="17">
        <v>57.5</v>
      </c>
      <c r="K40" s="17">
        <v>104.4</v>
      </c>
      <c r="L40" s="17">
        <v>72.400000000000006</v>
      </c>
      <c r="M40" s="15">
        <f t="shared" si="10"/>
        <v>217.09020000000007</v>
      </c>
      <c r="N40" s="16">
        <f t="shared" si="11"/>
        <v>0.22262117865956113</v>
      </c>
      <c r="O40" s="8" t="s">
        <v>98</v>
      </c>
      <c r="P40" s="1"/>
      <c r="Q40" s="1"/>
      <c r="R40" s="1"/>
      <c r="S40" s="1"/>
      <c r="T40" s="1"/>
      <c r="U40" s="1"/>
      <c r="V40" s="1"/>
      <c r="W40" s="1"/>
      <c r="X40" s="1"/>
      <c r="Y40" s="1"/>
      <c r="Z40" s="1"/>
    </row>
    <row r="41" spans="1:26">
      <c r="A41" s="12">
        <v>45505</v>
      </c>
      <c r="B41" s="8" t="s">
        <v>69</v>
      </c>
      <c r="C41" s="13">
        <v>73657</v>
      </c>
      <c r="D41" s="14">
        <v>14.86</v>
      </c>
      <c r="E41" s="15">
        <f t="shared" si="6"/>
        <v>1094.5430200000001</v>
      </c>
      <c r="F41" s="14">
        <v>7.52</v>
      </c>
      <c r="G41" s="15">
        <f t="shared" si="7"/>
        <v>553.90064000000007</v>
      </c>
      <c r="H41" s="15">
        <f t="shared" si="8"/>
        <v>540.64238</v>
      </c>
      <c r="I41" s="16">
        <f t="shared" si="9"/>
        <v>0.49394347240915204</v>
      </c>
      <c r="J41" s="17">
        <v>92.1</v>
      </c>
      <c r="K41" s="17">
        <v>92</v>
      </c>
      <c r="L41" s="17">
        <v>67.599999999999994</v>
      </c>
      <c r="M41" s="15">
        <f t="shared" si="10"/>
        <v>288.94237999999996</v>
      </c>
      <c r="N41" s="16">
        <f t="shared" si="11"/>
        <v>0.26398448916151324</v>
      </c>
      <c r="O41" s="8" t="s">
        <v>98</v>
      </c>
      <c r="P41" s="1"/>
      <c r="Q41" s="1"/>
      <c r="R41" s="1"/>
      <c r="S41" s="1"/>
      <c r="T41" s="1"/>
      <c r="U41" s="1"/>
      <c r="V41" s="1"/>
      <c r="W41" s="1"/>
      <c r="X41" s="1"/>
      <c r="Y41" s="1"/>
      <c r="Z41" s="1"/>
    </row>
    <row r="42" spans="1:26">
      <c r="A42" s="12">
        <v>45505</v>
      </c>
      <c r="B42" s="8" t="s">
        <v>70</v>
      </c>
      <c r="C42" s="13">
        <v>60728</v>
      </c>
      <c r="D42" s="14">
        <v>12.49</v>
      </c>
      <c r="E42" s="15">
        <f t="shared" si="6"/>
        <v>758.49271999999996</v>
      </c>
      <c r="F42" s="14">
        <v>6.29</v>
      </c>
      <c r="G42" s="15">
        <f t="shared" si="7"/>
        <v>381.97912000000002</v>
      </c>
      <c r="H42" s="15">
        <f t="shared" si="8"/>
        <v>376.51359999999994</v>
      </c>
      <c r="I42" s="16">
        <f t="shared" si="9"/>
        <v>0.49639711769415529</v>
      </c>
      <c r="J42" s="17">
        <v>65.599999999999994</v>
      </c>
      <c r="K42" s="17">
        <v>84.4</v>
      </c>
      <c r="L42" s="17">
        <v>61.7</v>
      </c>
      <c r="M42" s="15">
        <f t="shared" si="10"/>
        <v>164.81359999999995</v>
      </c>
      <c r="N42" s="16">
        <f t="shared" si="11"/>
        <v>0.21729094512601249</v>
      </c>
      <c r="O42" s="8" t="s">
        <v>98</v>
      </c>
      <c r="P42" s="1"/>
      <c r="Q42" s="1"/>
      <c r="R42" s="1"/>
      <c r="S42" s="1"/>
      <c r="T42" s="1"/>
      <c r="U42" s="1"/>
      <c r="V42" s="1"/>
      <c r="W42" s="1"/>
      <c r="X42" s="1"/>
      <c r="Y42" s="1"/>
      <c r="Z42" s="1"/>
    </row>
    <row r="43" spans="1:26">
      <c r="A43" s="12">
        <v>45505</v>
      </c>
      <c r="B43" s="8" t="s">
        <v>71</v>
      </c>
      <c r="C43" s="13">
        <v>48052</v>
      </c>
      <c r="D43" s="14">
        <v>19.38</v>
      </c>
      <c r="E43" s="15">
        <f t="shared" si="6"/>
        <v>931.24775999999997</v>
      </c>
      <c r="F43" s="14">
        <v>11</v>
      </c>
      <c r="G43" s="15">
        <f t="shared" si="7"/>
        <v>528.572</v>
      </c>
      <c r="H43" s="15">
        <f t="shared" si="8"/>
        <v>402.67575999999997</v>
      </c>
      <c r="I43" s="16">
        <f t="shared" si="9"/>
        <v>0.43240454076367385</v>
      </c>
      <c r="J43" s="17">
        <v>60.8</v>
      </c>
      <c r="K43" s="17">
        <v>76.400000000000006</v>
      </c>
      <c r="L43" s="17">
        <v>58.5</v>
      </c>
      <c r="M43" s="15">
        <f t="shared" si="10"/>
        <v>206.97575999999992</v>
      </c>
      <c r="N43" s="16">
        <f t="shared" si="11"/>
        <v>0.22225638427307459</v>
      </c>
      <c r="O43" s="8" t="s">
        <v>98</v>
      </c>
      <c r="P43" s="1"/>
      <c r="Q43" s="1"/>
      <c r="R43" s="1"/>
      <c r="S43" s="1"/>
      <c r="T43" s="1"/>
      <c r="U43" s="1"/>
      <c r="V43" s="1"/>
      <c r="W43" s="1"/>
      <c r="X43" s="1"/>
      <c r="Y43" s="1"/>
      <c r="Z43" s="1"/>
    </row>
    <row r="44" spans="1:26">
      <c r="A44" s="12">
        <v>45536</v>
      </c>
      <c r="B44" s="8" t="s">
        <v>67</v>
      </c>
      <c r="C44" s="13">
        <v>117333</v>
      </c>
      <c r="D44" s="14">
        <v>8.41</v>
      </c>
      <c r="E44" s="15">
        <f t="shared" si="6"/>
        <v>986.77053000000001</v>
      </c>
      <c r="F44" s="14">
        <v>4.25</v>
      </c>
      <c r="G44" s="15">
        <f t="shared" si="7"/>
        <v>498.66525000000001</v>
      </c>
      <c r="H44" s="15">
        <f t="shared" si="8"/>
        <v>488.10527999999999</v>
      </c>
      <c r="I44" s="16">
        <f t="shared" si="9"/>
        <v>0.49464922711058262</v>
      </c>
      <c r="J44" s="17">
        <v>78.099999999999994</v>
      </c>
      <c r="K44" s="17">
        <v>116.3</v>
      </c>
      <c r="L44" s="17">
        <v>85.3</v>
      </c>
      <c r="M44" s="15">
        <f t="shared" si="10"/>
        <v>208.40527999999995</v>
      </c>
      <c r="N44" s="16">
        <f t="shared" si="11"/>
        <v>0.211199335269974</v>
      </c>
      <c r="O44" s="8" t="s">
        <v>98</v>
      </c>
      <c r="P44" s="1"/>
      <c r="Q44" s="1"/>
      <c r="R44" s="1"/>
      <c r="S44" s="1"/>
      <c r="T44" s="1"/>
      <c r="U44" s="1"/>
      <c r="V44" s="1"/>
      <c r="W44" s="1"/>
      <c r="X44" s="1"/>
      <c r="Y44" s="1"/>
      <c r="Z44" s="1"/>
    </row>
    <row r="45" spans="1:26">
      <c r="A45" s="12">
        <v>45536</v>
      </c>
      <c r="B45" s="8" t="s">
        <v>68</v>
      </c>
      <c r="C45" s="13">
        <v>91299</v>
      </c>
      <c r="D45" s="14">
        <v>10.18</v>
      </c>
      <c r="E45" s="15">
        <f t="shared" si="6"/>
        <v>929.42381999999998</v>
      </c>
      <c r="F45" s="14">
        <v>5.57</v>
      </c>
      <c r="G45" s="15">
        <f t="shared" si="7"/>
        <v>508.53543000000008</v>
      </c>
      <c r="H45" s="15">
        <f t="shared" si="8"/>
        <v>420.8883899999999</v>
      </c>
      <c r="I45" s="16">
        <f t="shared" si="9"/>
        <v>0.45284872298624745</v>
      </c>
      <c r="J45" s="17">
        <v>54.9</v>
      </c>
      <c r="K45" s="17">
        <v>101.1</v>
      </c>
      <c r="L45" s="17">
        <v>73.3</v>
      </c>
      <c r="M45" s="15">
        <f t="shared" si="10"/>
        <v>191.58838999999995</v>
      </c>
      <c r="N45" s="16">
        <f t="shared" si="11"/>
        <v>0.20613673318594303</v>
      </c>
      <c r="O45" s="8" t="s">
        <v>98</v>
      </c>
      <c r="P45" s="1"/>
      <c r="Q45" s="1"/>
      <c r="R45" s="1"/>
      <c r="S45" s="1"/>
      <c r="T45" s="1"/>
      <c r="U45" s="1"/>
      <c r="V45" s="1"/>
      <c r="W45" s="1"/>
      <c r="X45" s="1"/>
      <c r="Y45" s="1"/>
      <c r="Z45" s="1"/>
    </row>
    <row r="46" spans="1:26">
      <c r="A46" s="12">
        <v>45536</v>
      </c>
      <c r="B46" s="8" t="s">
        <v>69</v>
      </c>
      <c r="C46" s="13">
        <v>69846</v>
      </c>
      <c r="D46" s="14">
        <v>14.79</v>
      </c>
      <c r="E46" s="15">
        <f t="shared" si="6"/>
        <v>1033.02234</v>
      </c>
      <c r="F46" s="14">
        <v>7.69</v>
      </c>
      <c r="G46" s="15">
        <f t="shared" si="7"/>
        <v>537.11573999999996</v>
      </c>
      <c r="H46" s="15">
        <f t="shared" si="8"/>
        <v>495.90660000000003</v>
      </c>
      <c r="I46" s="16">
        <f t="shared" si="9"/>
        <v>0.48005409060175797</v>
      </c>
      <c r="J46" s="17">
        <v>92.5</v>
      </c>
      <c r="K46" s="17">
        <v>90</v>
      </c>
      <c r="L46" s="17">
        <v>64.7</v>
      </c>
      <c r="M46" s="15">
        <f t="shared" si="10"/>
        <v>248.70660000000004</v>
      </c>
      <c r="N46" s="16">
        <f t="shared" si="11"/>
        <v>0.24075626476771067</v>
      </c>
      <c r="O46" s="8" t="s">
        <v>98</v>
      </c>
      <c r="P46" s="1"/>
      <c r="Q46" s="1"/>
      <c r="R46" s="1"/>
      <c r="S46" s="1"/>
      <c r="T46" s="1"/>
      <c r="U46" s="1"/>
      <c r="V46" s="1"/>
      <c r="W46" s="1"/>
      <c r="X46" s="1"/>
      <c r="Y46" s="1"/>
      <c r="Z46" s="1"/>
    </row>
    <row r="47" spans="1:26">
      <c r="A47" s="12">
        <v>45536</v>
      </c>
      <c r="B47" s="8" t="s">
        <v>70</v>
      </c>
      <c r="C47" s="13">
        <v>59997</v>
      </c>
      <c r="D47" s="14">
        <v>12.49</v>
      </c>
      <c r="E47" s="15">
        <f t="shared" si="6"/>
        <v>749.36252999999999</v>
      </c>
      <c r="F47" s="14">
        <v>6.41</v>
      </c>
      <c r="G47" s="15">
        <f t="shared" si="7"/>
        <v>384.58077000000003</v>
      </c>
      <c r="H47" s="15">
        <f t="shared" si="8"/>
        <v>364.78175999999996</v>
      </c>
      <c r="I47" s="16">
        <f t="shared" si="9"/>
        <v>0.48678943154523613</v>
      </c>
      <c r="J47" s="17">
        <v>72.3</v>
      </c>
      <c r="K47" s="17">
        <v>83.5</v>
      </c>
      <c r="L47" s="17">
        <v>59.5</v>
      </c>
      <c r="M47" s="15">
        <f t="shared" si="10"/>
        <v>149.48175999999995</v>
      </c>
      <c r="N47" s="16">
        <f t="shared" si="11"/>
        <v>0.19947856213200299</v>
      </c>
      <c r="O47" s="8" t="s">
        <v>98</v>
      </c>
      <c r="P47" s="1"/>
      <c r="Q47" s="1"/>
      <c r="R47" s="1"/>
      <c r="S47" s="1"/>
      <c r="T47" s="1"/>
      <c r="U47" s="1"/>
      <c r="V47" s="1"/>
      <c r="W47" s="1"/>
      <c r="X47" s="1"/>
      <c r="Y47" s="1"/>
      <c r="Z47" s="1"/>
    </row>
    <row r="48" spans="1:26">
      <c r="A48" s="12">
        <v>45536</v>
      </c>
      <c r="B48" s="8" t="s">
        <v>71</v>
      </c>
      <c r="C48" s="13">
        <v>49121</v>
      </c>
      <c r="D48" s="14">
        <v>19.559999999999999</v>
      </c>
      <c r="E48" s="15">
        <f t="shared" si="6"/>
        <v>960.80675999999994</v>
      </c>
      <c r="F48" s="14">
        <v>10.93</v>
      </c>
      <c r="G48" s="15">
        <f t="shared" si="7"/>
        <v>536.89253000000008</v>
      </c>
      <c r="H48" s="15">
        <f t="shared" si="8"/>
        <v>423.91422999999986</v>
      </c>
      <c r="I48" s="16">
        <f t="shared" si="9"/>
        <v>0.44120654396728004</v>
      </c>
      <c r="J48" s="17">
        <v>70.400000000000006</v>
      </c>
      <c r="K48" s="17">
        <v>76.599999999999994</v>
      </c>
      <c r="L48" s="17">
        <v>56</v>
      </c>
      <c r="M48" s="15">
        <f t="shared" si="10"/>
        <v>220.91422999999986</v>
      </c>
      <c r="N48" s="16">
        <f t="shared" si="11"/>
        <v>0.22992576571796797</v>
      </c>
      <c r="O48" s="8" t="s">
        <v>98</v>
      </c>
      <c r="P48" s="1"/>
      <c r="Q48" s="1"/>
      <c r="R48" s="1"/>
      <c r="S48" s="1"/>
      <c r="T48" s="1"/>
      <c r="U48" s="1"/>
      <c r="V48" s="1"/>
      <c r="W48" s="1"/>
      <c r="X48" s="1"/>
      <c r="Y48" s="1"/>
      <c r="Z48" s="1"/>
    </row>
    <row r="49" spans="1:26">
      <c r="A49" s="12">
        <v>45566</v>
      </c>
      <c r="B49" s="8" t="s">
        <v>67</v>
      </c>
      <c r="C49" s="13">
        <v>125444</v>
      </c>
      <c r="D49" s="14">
        <v>8.3699999999999992</v>
      </c>
      <c r="E49" s="15">
        <f t="shared" si="6"/>
        <v>1049.9662799999999</v>
      </c>
      <c r="F49" s="14">
        <v>4.2699999999999996</v>
      </c>
      <c r="G49" s="15">
        <f t="shared" si="7"/>
        <v>535.64588000000003</v>
      </c>
      <c r="H49" s="15">
        <f t="shared" si="8"/>
        <v>514.32039999999984</v>
      </c>
      <c r="I49" s="16">
        <f t="shared" si="9"/>
        <v>0.48984468339307041</v>
      </c>
      <c r="J49" s="17">
        <v>83.2</v>
      </c>
      <c r="K49" s="17">
        <v>115.8</v>
      </c>
      <c r="L49" s="17">
        <v>81.7</v>
      </c>
      <c r="M49" s="15">
        <f t="shared" si="10"/>
        <v>233.62039999999985</v>
      </c>
      <c r="N49" s="16">
        <f t="shared" si="11"/>
        <v>0.22250276456497239</v>
      </c>
      <c r="O49" s="8" t="s">
        <v>98</v>
      </c>
      <c r="P49" s="1"/>
      <c r="Q49" s="1"/>
      <c r="R49" s="1"/>
      <c r="S49" s="1"/>
      <c r="T49" s="1"/>
      <c r="U49" s="1"/>
      <c r="V49" s="1"/>
      <c r="W49" s="1"/>
      <c r="X49" s="1"/>
      <c r="Y49" s="1"/>
      <c r="Z49" s="1"/>
    </row>
    <row r="50" spans="1:26">
      <c r="A50" s="12">
        <v>45566</v>
      </c>
      <c r="B50" s="8" t="s">
        <v>68</v>
      </c>
      <c r="C50" s="13">
        <v>94059</v>
      </c>
      <c r="D50" s="14">
        <v>10.210000000000001</v>
      </c>
      <c r="E50" s="15">
        <f t="shared" si="6"/>
        <v>960.34239000000014</v>
      </c>
      <c r="F50" s="14">
        <v>5.52</v>
      </c>
      <c r="G50" s="15">
        <f t="shared" si="7"/>
        <v>519.20567999999992</v>
      </c>
      <c r="H50" s="15">
        <f t="shared" si="8"/>
        <v>441.13671000000022</v>
      </c>
      <c r="I50" s="16">
        <f t="shared" si="9"/>
        <v>0.45935357492654277</v>
      </c>
      <c r="J50" s="17">
        <v>59.6</v>
      </c>
      <c r="K50" s="17">
        <v>103.1</v>
      </c>
      <c r="L50" s="17">
        <v>70.5</v>
      </c>
      <c r="M50" s="15">
        <f t="shared" si="10"/>
        <v>207.93671000000018</v>
      </c>
      <c r="N50" s="16">
        <f t="shared" si="11"/>
        <v>0.21652351511839454</v>
      </c>
      <c r="O50" s="8" t="s">
        <v>98</v>
      </c>
      <c r="P50" s="1"/>
      <c r="Q50" s="1"/>
      <c r="R50" s="1"/>
      <c r="S50" s="1"/>
      <c r="T50" s="1"/>
      <c r="U50" s="1"/>
      <c r="V50" s="1"/>
      <c r="W50" s="1"/>
      <c r="X50" s="1"/>
      <c r="Y50" s="1"/>
      <c r="Z50" s="1"/>
    </row>
    <row r="51" spans="1:26">
      <c r="A51" s="12">
        <v>45566</v>
      </c>
      <c r="B51" s="8" t="s">
        <v>69</v>
      </c>
      <c r="C51" s="13">
        <v>75584</v>
      </c>
      <c r="D51" s="14">
        <v>14.74</v>
      </c>
      <c r="E51" s="15">
        <f t="shared" si="6"/>
        <v>1114.10816</v>
      </c>
      <c r="F51" s="14">
        <v>7.6</v>
      </c>
      <c r="G51" s="15">
        <f t="shared" si="7"/>
        <v>574.4384</v>
      </c>
      <c r="H51" s="15">
        <f t="shared" si="8"/>
        <v>539.66976</v>
      </c>
      <c r="I51" s="16">
        <f t="shared" si="9"/>
        <v>0.48439620081411128</v>
      </c>
      <c r="J51" s="17">
        <v>98.5</v>
      </c>
      <c r="K51" s="17">
        <v>93.6</v>
      </c>
      <c r="L51" s="17">
        <v>64.099999999999994</v>
      </c>
      <c r="M51" s="15">
        <f t="shared" si="10"/>
        <v>283.46975999999995</v>
      </c>
      <c r="N51" s="16">
        <f t="shared" si="11"/>
        <v>0.2544364812838279</v>
      </c>
      <c r="O51" s="8" t="s">
        <v>98</v>
      </c>
      <c r="P51" s="1"/>
      <c r="Q51" s="1"/>
      <c r="R51" s="1"/>
      <c r="S51" s="1"/>
      <c r="T51" s="1"/>
      <c r="U51" s="1"/>
      <c r="V51" s="1"/>
      <c r="W51" s="1"/>
      <c r="X51" s="1"/>
      <c r="Y51" s="1"/>
      <c r="Z51" s="1"/>
    </row>
    <row r="52" spans="1:26">
      <c r="A52" s="12">
        <v>45566</v>
      </c>
      <c r="B52" s="8" t="s">
        <v>70</v>
      </c>
      <c r="C52" s="13">
        <v>63101</v>
      </c>
      <c r="D52" s="14">
        <v>12.36</v>
      </c>
      <c r="E52" s="15">
        <f t="shared" si="6"/>
        <v>779.92836</v>
      </c>
      <c r="F52" s="14">
        <v>6.27</v>
      </c>
      <c r="G52" s="15">
        <f t="shared" si="7"/>
        <v>395.64326999999997</v>
      </c>
      <c r="H52" s="15">
        <f t="shared" si="8"/>
        <v>384.28509000000003</v>
      </c>
      <c r="I52" s="16">
        <f t="shared" si="9"/>
        <v>0.49271844660194181</v>
      </c>
      <c r="J52" s="17">
        <v>74</v>
      </c>
      <c r="K52" s="17">
        <v>84.6</v>
      </c>
      <c r="L52" s="17">
        <v>60</v>
      </c>
      <c r="M52" s="15">
        <f t="shared" si="10"/>
        <v>165.68509000000003</v>
      </c>
      <c r="N52" s="16">
        <f t="shared" si="11"/>
        <v>0.21243629350777812</v>
      </c>
      <c r="O52" s="8" t="s">
        <v>98</v>
      </c>
      <c r="P52" s="1"/>
      <c r="Q52" s="1"/>
      <c r="R52" s="1"/>
      <c r="S52" s="1"/>
      <c r="T52" s="1"/>
      <c r="U52" s="1"/>
      <c r="V52" s="1"/>
      <c r="W52" s="1"/>
      <c r="X52" s="1"/>
      <c r="Y52" s="1"/>
      <c r="Z52" s="1"/>
    </row>
    <row r="53" spans="1:26">
      <c r="A53" s="12">
        <v>45566</v>
      </c>
      <c r="B53" s="8" t="s">
        <v>71</v>
      </c>
      <c r="C53" s="13">
        <v>50763</v>
      </c>
      <c r="D53" s="14">
        <v>19.52</v>
      </c>
      <c r="E53" s="15">
        <f t="shared" si="6"/>
        <v>990.89376000000004</v>
      </c>
      <c r="F53" s="14">
        <v>10.88</v>
      </c>
      <c r="G53" s="15">
        <f t="shared" si="7"/>
        <v>552.30144000000007</v>
      </c>
      <c r="H53" s="15">
        <f t="shared" si="8"/>
        <v>438.59231999999997</v>
      </c>
      <c r="I53" s="16">
        <f t="shared" si="9"/>
        <v>0.44262295081967207</v>
      </c>
      <c r="J53" s="17">
        <v>62.1</v>
      </c>
      <c r="K53" s="17">
        <v>74.400000000000006</v>
      </c>
      <c r="L53" s="17">
        <v>59.6</v>
      </c>
      <c r="M53" s="15">
        <f t="shared" si="10"/>
        <v>242.49231999999998</v>
      </c>
      <c r="N53" s="16">
        <f t="shared" si="11"/>
        <v>0.2447208063960358</v>
      </c>
      <c r="O53" s="8" t="s">
        <v>98</v>
      </c>
      <c r="P53" s="1"/>
      <c r="Q53" s="1"/>
      <c r="R53" s="1"/>
      <c r="S53" s="1"/>
      <c r="T53" s="1"/>
      <c r="U53" s="1"/>
      <c r="V53" s="1"/>
      <c r="W53" s="1"/>
      <c r="X53" s="1"/>
      <c r="Y53" s="1"/>
      <c r="Z53" s="1"/>
    </row>
    <row r="54" spans="1:26">
      <c r="A54" s="12">
        <v>45597</v>
      </c>
      <c r="B54" s="8" t="s">
        <v>67</v>
      </c>
      <c r="C54" s="13">
        <v>135897</v>
      </c>
      <c r="D54" s="14">
        <v>8.41</v>
      </c>
      <c r="E54" s="15">
        <f t="shared" si="6"/>
        <v>1142.8937700000001</v>
      </c>
      <c r="F54" s="14">
        <v>4.28</v>
      </c>
      <c r="G54" s="15">
        <f t="shared" si="7"/>
        <v>581.63916000000006</v>
      </c>
      <c r="H54" s="15">
        <f t="shared" si="8"/>
        <v>561.25461000000007</v>
      </c>
      <c r="I54" s="16">
        <f t="shared" si="9"/>
        <v>0.49108204518430443</v>
      </c>
      <c r="J54" s="17">
        <v>85.7</v>
      </c>
      <c r="K54" s="17">
        <v>115.9</v>
      </c>
      <c r="L54" s="17">
        <v>81.8</v>
      </c>
      <c r="M54" s="15">
        <f t="shared" si="10"/>
        <v>277.85461000000004</v>
      </c>
      <c r="N54" s="16">
        <f t="shared" si="11"/>
        <v>0.24311499221839314</v>
      </c>
      <c r="O54" s="8" t="s">
        <v>98</v>
      </c>
      <c r="P54" s="1"/>
      <c r="Q54" s="1"/>
      <c r="R54" s="1"/>
      <c r="S54" s="1"/>
      <c r="T54" s="1"/>
      <c r="U54" s="1"/>
      <c r="V54" s="1"/>
      <c r="W54" s="1"/>
      <c r="X54" s="1"/>
      <c r="Y54" s="1"/>
      <c r="Z54" s="1"/>
    </row>
    <row r="55" spans="1:26">
      <c r="A55" s="12">
        <v>45597</v>
      </c>
      <c r="B55" s="8" t="s">
        <v>68</v>
      </c>
      <c r="C55" s="13">
        <v>102762</v>
      </c>
      <c r="D55" s="14">
        <v>10.27</v>
      </c>
      <c r="E55" s="15">
        <f t="shared" si="6"/>
        <v>1055.36574</v>
      </c>
      <c r="F55" s="14">
        <v>5.59</v>
      </c>
      <c r="G55" s="15">
        <f t="shared" si="7"/>
        <v>574.43957999999998</v>
      </c>
      <c r="H55" s="15">
        <f t="shared" si="8"/>
        <v>480.92615999999998</v>
      </c>
      <c r="I55" s="16">
        <f t="shared" si="9"/>
        <v>0.45569620253164556</v>
      </c>
      <c r="J55" s="17">
        <v>68.099999999999994</v>
      </c>
      <c r="K55" s="17">
        <v>104</v>
      </c>
      <c r="L55" s="17">
        <v>70.5</v>
      </c>
      <c r="M55" s="15">
        <f t="shared" si="10"/>
        <v>238.32615999999996</v>
      </c>
      <c r="N55" s="16">
        <f t="shared" si="11"/>
        <v>0.22582328662668164</v>
      </c>
      <c r="O55" s="8" t="s">
        <v>98</v>
      </c>
      <c r="P55" s="1"/>
      <c r="Q55" s="1"/>
      <c r="R55" s="1"/>
      <c r="S55" s="1"/>
      <c r="T55" s="1"/>
      <c r="U55" s="1"/>
      <c r="V55" s="1"/>
      <c r="W55" s="1"/>
      <c r="X55" s="1"/>
      <c r="Y55" s="1"/>
      <c r="Z55" s="1"/>
    </row>
    <row r="56" spans="1:26">
      <c r="A56" s="12">
        <v>45597</v>
      </c>
      <c r="B56" s="8" t="s">
        <v>69</v>
      </c>
      <c r="C56" s="13">
        <v>79226</v>
      </c>
      <c r="D56" s="14">
        <v>14.71</v>
      </c>
      <c r="E56" s="15">
        <f t="shared" si="6"/>
        <v>1165.41446</v>
      </c>
      <c r="F56" s="14">
        <v>7.65</v>
      </c>
      <c r="G56" s="15">
        <f t="shared" si="7"/>
        <v>606.07889999999998</v>
      </c>
      <c r="H56" s="15">
        <f t="shared" si="8"/>
        <v>559.33555999999999</v>
      </c>
      <c r="I56" s="16">
        <f t="shared" si="9"/>
        <v>0.47994561522773621</v>
      </c>
      <c r="J56" s="17">
        <v>102.6</v>
      </c>
      <c r="K56" s="17">
        <v>91.6</v>
      </c>
      <c r="L56" s="17">
        <v>66.599999999999994</v>
      </c>
      <c r="M56" s="15">
        <f t="shared" si="10"/>
        <v>298.53555999999992</v>
      </c>
      <c r="N56" s="16">
        <f t="shared" si="11"/>
        <v>0.2561625672638384</v>
      </c>
      <c r="O56" s="8" t="s">
        <v>98</v>
      </c>
      <c r="P56" s="1"/>
      <c r="Q56" s="1"/>
      <c r="R56" s="1"/>
      <c r="S56" s="1"/>
      <c r="T56" s="1"/>
      <c r="U56" s="1"/>
      <c r="V56" s="1"/>
      <c r="W56" s="1"/>
      <c r="X56" s="1"/>
      <c r="Y56" s="1"/>
      <c r="Z56" s="1"/>
    </row>
    <row r="57" spans="1:26">
      <c r="A57" s="12">
        <v>45597</v>
      </c>
      <c r="B57" s="8" t="s">
        <v>70</v>
      </c>
      <c r="C57" s="13">
        <v>66668</v>
      </c>
      <c r="D57" s="14">
        <v>12.49</v>
      </c>
      <c r="E57" s="15">
        <f t="shared" si="6"/>
        <v>832.68332000000009</v>
      </c>
      <c r="F57" s="14">
        <v>6.41</v>
      </c>
      <c r="G57" s="15">
        <f t="shared" si="7"/>
        <v>427.34188</v>
      </c>
      <c r="H57" s="15">
        <f t="shared" si="8"/>
        <v>405.34144000000009</v>
      </c>
      <c r="I57" s="16">
        <f t="shared" si="9"/>
        <v>0.48678943154523624</v>
      </c>
      <c r="J57" s="17">
        <v>81.5</v>
      </c>
      <c r="K57" s="17">
        <v>85.3</v>
      </c>
      <c r="L57" s="17">
        <v>62.6</v>
      </c>
      <c r="M57" s="15">
        <f t="shared" si="10"/>
        <v>175.94144000000009</v>
      </c>
      <c r="N57" s="16">
        <f t="shared" si="11"/>
        <v>0.2112945411227885</v>
      </c>
      <c r="O57" s="8" t="s">
        <v>98</v>
      </c>
      <c r="P57" s="1"/>
      <c r="Q57" s="1"/>
      <c r="R57" s="1"/>
      <c r="S57" s="1"/>
      <c r="T57" s="1"/>
      <c r="U57" s="1"/>
      <c r="V57" s="1"/>
      <c r="W57" s="1"/>
      <c r="X57" s="1"/>
      <c r="Y57" s="1"/>
      <c r="Z57" s="1"/>
    </row>
    <row r="58" spans="1:26">
      <c r="A58" s="12">
        <v>45597</v>
      </c>
      <c r="B58" s="8" t="s">
        <v>71</v>
      </c>
      <c r="C58" s="13">
        <v>51972</v>
      </c>
      <c r="D58" s="14">
        <v>19.57</v>
      </c>
      <c r="E58" s="15">
        <f t="shared" si="6"/>
        <v>1017.09204</v>
      </c>
      <c r="F58" s="14">
        <v>10.86</v>
      </c>
      <c r="G58" s="15">
        <f t="shared" si="7"/>
        <v>564.41591999999991</v>
      </c>
      <c r="H58" s="15">
        <f t="shared" si="8"/>
        <v>452.67612000000008</v>
      </c>
      <c r="I58" s="16">
        <f t="shared" si="9"/>
        <v>0.44506898313745535</v>
      </c>
      <c r="J58" s="17">
        <v>73.900000000000006</v>
      </c>
      <c r="K58" s="17">
        <v>77.099999999999994</v>
      </c>
      <c r="L58" s="17">
        <v>59.5</v>
      </c>
      <c r="M58" s="15">
        <f t="shared" si="10"/>
        <v>242.17612000000008</v>
      </c>
      <c r="N58" s="16">
        <f t="shared" si="11"/>
        <v>0.2381063959560632</v>
      </c>
      <c r="O58" s="8" t="s">
        <v>98</v>
      </c>
      <c r="P58" s="1"/>
      <c r="Q58" s="1"/>
      <c r="R58" s="1"/>
      <c r="S58" s="1"/>
      <c r="T58" s="1"/>
      <c r="U58" s="1"/>
      <c r="V58" s="1"/>
      <c r="W58" s="1"/>
      <c r="X58" s="1"/>
      <c r="Y58" s="1"/>
      <c r="Z58" s="1"/>
    </row>
    <row r="59" spans="1:26">
      <c r="A59" s="12">
        <v>45627</v>
      </c>
      <c r="B59" s="8" t="s">
        <v>67</v>
      </c>
      <c r="C59" s="13">
        <v>142269</v>
      </c>
      <c r="D59" s="14">
        <v>8.3699999999999992</v>
      </c>
      <c r="E59" s="15">
        <f t="shared" si="6"/>
        <v>1190.7915299999997</v>
      </c>
      <c r="F59" s="14">
        <v>4.28</v>
      </c>
      <c r="G59" s="15">
        <f t="shared" si="7"/>
        <v>608.91132000000005</v>
      </c>
      <c r="H59" s="15">
        <f t="shared" si="8"/>
        <v>581.88020999999969</v>
      </c>
      <c r="I59" s="16">
        <f t="shared" si="9"/>
        <v>0.48864994026284336</v>
      </c>
      <c r="J59" s="17">
        <v>82.6</v>
      </c>
      <c r="K59" s="17">
        <v>120.2</v>
      </c>
      <c r="L59" s="17">
        <v>86.1</v>
      </c>
      <c r="M59" s="15">
        <f t="shared" si="10"/>
        <v>292.98020999999972</v>
      </c>
      <c r="N59" s="16">
        <f t="shared" si="11"/>
        <v>0.24603820452098762</v>
      </c>
      <c r="O59" s="8" t="s">
        <v>98</v>
      </c>
      <c r="P59" s="1"/>
      <c r="Q59" s="1"/>
      <c r="R59" s="1"/>
      <c r="S59" s="1"/>
      <c r="T59" s="1"/>
      <c r="U59" s="1"/>
      <c r="V59" s="1"/>
      <c r="W59" s="1"/>
      <c r="X59" s="1"/>
      <c r="Y59" s="1"/>
      <c r="Z59" s="1"/>
    </row>
    <row r="60" spans="1:26">
      <c r="A60" s="12">
        <v>45627</v>
      </c>
      <c r="B60" s="8" t="s">
        <v>68</v>
      </c>
      <c r="C60" s="13">
        <v>107608</v>
      </c>
      <c r="D60" s="14">
        <v>10.25</v>
      </c>
      <c r="E60" s="15">
        <f t="shared" si="6"/>
        <v>1102.982</v>
      </c>
      <c r="F60" s="14">
        <v>5.54</v>
      </c>
      <c r="G60" s="15">
        <f t="shared" si="7"/>
        <v>596.1483199999999</v>
      </c>
      <c r="H60" s="15">
        <f t="shared" si="8"/>
        <v>506.83368000000007</v>
      </c>
      <c r="I60" s="16">
        <f t="shared" si="9"/>
        <v>0.45951219512195129</v>
      </c>
      <c r="J60" s="17">
        <v>65.2</v>
      </c>
      <c r="K60" s="17">
        <v>103.5</v>
      </c>
      <c r="L60" s="17">
        <v>70.599999999999994</v>
      </c>
      <c r="M60" s="15">
        <f t="shared" si="10"/>
        <v>267.53368000000012</v>
      </c>
      <c r="N60" s="16">
        <f t="shared" si="11"/>
        <v>0.24255489210159378</v>
      </c>
      <c r="O60" s="8" t="s">
        <v>98</v>
      </c>
      <c r="P60" s="1"/>
      <c r="Q60" s="1"/>
      <c r="R60" s="1"/>
      <c r="S60" s="1"/>
      <c r="T60" s="1"/>
      <c r="U60" s="1"/>
      <c r="V60" s="1"/>
      <c r="W60" s="1"/>
      <c r="X60" s="1"/>
      <c r="Y60" s="1"/>
      <c r="Z60" s="1"/>
    </row>
    <row r="61" spans="1:26">
      <c r="A61" s="12">
        <v>45627</v>
      </c>
      <c r="B61" s="8" t="s">
        <v>69</v>
      </c>
      <c r="C61" s="13">
        <v>82127</v>
      </c>
      <c r="D61" s="14">
        <v>14.73</v>
      </c>
      <c r="E61" s="15">
        <f t="shared" si="6"/>
        <v>1209.73071</v>
      </c>
      <c r="F61" s="14">
        <v>7.57</v>
      </c>
      <c r="G61" s="15">
        <f t="shared" si="7"/>
        <v>621.70139000000006</v>
      </c>
      <c r="H61" s="15">
        <f t="shared" si="8"/>
        <v>588.02931999999998</v>
      </c>
      <c r="I61" s="16">
        <f t="shared" si="9"/>
        <v>0.48608282416836385</v>
      </c>
      <c r="J61" s="17">
        <v>106.2</v>
      </c>
      <c r="K61" s="17">
        <v>94.1</v>
      </c>
      <c r="L61" s="17">
        <v>65</v>
      </c>
      <c r="M61" s="15">
        <f t="shared" si="10"/>
        <v>322.72932000000003</v>
      </c>
      <c r="N61" s="16">
        <f t="shared" si="11"/>
        <v>0.26677781867668715</v>
      </c>
      <c r="O61" s="8" t="s">
        <v>98</v>
      </c>
      <c r="P61" s="1"/>
      <c r="Q61" s="1"/>
      <c r="R61" s="1"/>
      <c r="S61" s="1"/>
      <c r="T61" s="1"/>
      <c r="U61" s="1"/>
      <c r="V61" s="1"/>
      <c r="W61" s="1"/>
      <c r="X61" s="1"/>
      <c r="Y61" s="1"/>
      <c r="Z61" s="1"/>
    </row>
    <row r="62" spans="1:26">
      <c r="A62" s="12">
        <v>45627</v>
      </c>
      <c r="B62" s="8" t="s">
        <v>70</v>
      </c>
      <c r="C62" s="13">
        <v>72693</v>
      </c>
      <c r="D62" s="14">
        <v>12.38</v>
      </c>
      <c r="E62" s="15">
        <f t="shared" si="6"/>
        <v>899.93934000000013</v>
      </c>
      <c r="F62" s="14">
        <v>6.42</v>
      </c>
      <c r="G62" s="15">
        <f t="shared" si="7"/>
        <v>466.68905999999998</v>
      </c>
      <c r="H62" s="15">
        <f t="shared" si="8"/>
        <v>433.25028000000015</v>
      </c>
      <c r="I62" s="16">
        <f t="shared" si="9"/>
        <v>0.4814216478190631</v>
      </c>
      <c r="J62" s="17">
        <v>82.4</v>
      </c>
      <c r="K62" s="17">
        <v>85.8</v>
      </c>
      <c r="L62" s="17">
        <v>59.4</v>
      </c>
      <c r="M62" s="15">
        <f t="shared" si="10"/>
        <v>205.65028000000009</v>
      </c>
      <c r="N62" s="16">
        <f t="shared" si="11"/>
        <v>0.2285157130701721</v>
      </c>
      <c r="O62" s="8" t="s">
        <v>98</v>
      </c>
      <c r="P62" s="1"/>
      <c r="Q62" s="1"/>
      <c r="R62" s="1"/>
      <c r="S62" s="1"/>
      <c r="T62" s="1"/>
      <c r="U62" s="1"/>
      <c r="V62" s="1"/>
      <c r="W62" s="1"/>
      <c r="X62" s="1"/>
      <c r="Y62" s="1"/>
      <c r="Z62" s="1"/>
    </row>
    <row r="63" spans="1:26">
      <c r="A63" s="12">
        <v>45627</v>
      </c>
      <c r="B63" s="8" t="s">
        <v>71</v>
      </c>
      <c r="C63" s="13">
        <v>58505</v>
      </c>
      <c r="D63" s="14">
        <v>19.399999999999999</v>
      </c>
      <c r="E63" s="15">
        <f t="shared" si="6"/>
        <v>1134.9970000000001</v>
      </c>
      <c r="F63" s="14">
        <v>11.02</v>
      </c>
      <c r="G63" s="15">
        <f t="shared" si="7"/>
        <v>644.7251</v>
      </c>
      <c r="H63" s="15">
        <f t="shared" si="8"/>
        <v>490.27190000000007</v>
      </c>
      <c r="I63" s="16">
        <f t="shared" si="9"/>
        <v>0.43195876288659796</v>
      </c>
      <c r="J63" s="17">
        <v>74.3</v>
      </c>
      <c r="K63" s="17">
        <v>74.5</v>
      </c>
      <c r="L63" s="17">
        <v>57.7</v>
      </c>
      <c r="M63" s="15">
        <f t="shared" si="10"/>
        <v>283.77190000000007</v>
      </c>
      <c r="N63" s="16">
        <f t="shared" si="11"/>
        <v>0.25001995599988375</v>
      </c>
      <c r="O63" s="8" t="s">
        <v>98</v>
      </c>
      <c r="P63" s="1"/>
      <c r="Q63" s="1"/>
      <c r="R63" s="1"/>
      <c r="S63" s="1"/>
      <c r="T63" s="1"/>
      <c r="U63" s="1"/>
      <c r="V63" s="1"/>
      <c r="W63" s="1"/>
      <c r="X63" s="1"/>
      <c r="Y63" s="1"/>
      <c r="Z63" s="1"/>
    </row>
    <row r="64" spans="1:26">
      <c r="A64" s="12">
        <v>45658</v>
      </c>
      <c r="B64" s="8" t="s">
        <v>67</v>
      </c>
      <c r="C64" s="13">
        <v>116513</v>
      </c>
      <c r="D64" s="14">
        <v>8.59</v>
      </c>
      <c r="E64" s="15">
        <f t="shared" si="6"/>
        <v>1000.8466699999999</v>
      </c>
      <c r="F64" s="14">
        <v>4.42</v>
      </c>
      <c r="G64" s="15">
        <f t="shared" si="7"/>
        <v>514.98745999999994</v>
      </c>
      <c r="H64" s="15">
        <f t="shared" si="8"/>
        <v>485.85920999999996</v>
      </c>
      <c r="I64" s="16">
        <f t="shared" si="9"/>
        <v>0.48544819557625146</v>
      </c>
      <c r="J64" s="17">
        <v>74.2</v>
      </c>
      <c r="K64" s="17">
        <v>122</v>
      </c>
      <c r="L64" s="17">
        <v>87.4</v>
      </c>
      <c r="M64" s="15">
        <f t="shared" si="10"/>
        <v>202.25920999999997</v>
      </c>
      <c r="N64" s="16">
        <f t="shared" si="11"/>
        <v>0.20208810806154751</v>
      </c>
      <c r="O64" s="8" t="s">
        <v>98</v>
      </c>
      <c r="P64" s="1"/>
      <c r="Q64" s="1"/>
      <c r="R64" s="1"/>
      <c r="S64" s="1"/>
      <c r="T64" s="1"/>
      <c r="U64" s="1"/>
      <c r="V64" s="1"/>
      <c r="W64" s="1"/>
      <c r="X64" s="1"/>
      <c r="Y64" s="1"/>
      <c r="Z64" s="1"/>
    </row>
    <row r="65" spans="1:26">
      <c r="A65" s="12">
        <v>45658</v>
      </c>
      <c r="B65" s="8" t="s">
        <v>68</v>
      </c>
      <c r="C65" s="13">
        <v>89340</v>
      </c>
      <c r="D65" s="14">
        <v>10.5</v>
      </c>
      <c r="E65" s="15">
        <f t="shared" si="6"/>
        <v>938.07</v>
      </c>
      <c r="F65" s="14">
        <v>5.69</v>
      </c>
      <c r="G65" s="15">
        <f t="shared" si="7"/>
        <v>508.34460000000001</v>
      </c>
      <c r="H65" s="15">
        <f t="shared" si="8"/>
        <v>429.72540000000004</v>
      </c>
      <c r="I65" s="16">
        <f t="shared" si="9"/>
        <v>0.45809523809523811</v>
      </c>
      <c r="J65" s="17">
        <v>61.1</v>
      </c>
      <c r="K65" s="17">
        <v>106.3</v>
      </c>
      <c r="L65" s="17">
        <v>75.7</v>
      </c>
      <c r="M65" s="15">
        <f t="shared" si="10"/>
        <v>186.62540000000001</v>
      </c>
      <c r="N65" s="16">
        <f t="shared" si="11"/>
        <v>0.19894613408381037</v>
      </c>
      <c r="O65" s="8" t="s">
        <v>98</v>
      </c>
      <c r="P65" s="1"/>
      <c r="Q65" s="1"/>
      <c r="R65" s="1"/>
      <c r="S65" s="1"/>
      <c r="T65" s="1"/>
      <c r="U65" s="1"/>
      <c r="V65" s="1"/>
      <c r="W65" s="1"/>
      <c r="X65" s="1"/>
      <c r="Y65" s="1"/>
      <c r="Z65" s="1"/>
    </row>
    <row r="66" spans="1:26">
      <c r="A66" s="12">
        <v>45658</v>
      </c>
      <c r="B66" s="8" t="s">
        <v>69</v>
      </c>
      <c r="C66" s="13">
        <v>71975</v>
      </c>
      <c r="D66" s="14">
        <v>15.23</v>
      </c>
      <c r="E66" s="15">
        <f t="shared" si="6"/>
        <v>1096.1792499999999</v>
      </c>
      <c r="F66" s="14">
        <v>7.86</v>
      </c>
      <c r="G66" s="15">
        <f t="shared" si="7"/>
        <v>565.72349999999994</v>
      </c>
      <c r="H66" s="15">
        <f t="shared" si="8"/>
        <v>530.45574999999997</v>
      </c>
      <c r="I66" s="16">
        <f t="shared" si="9"/>
        <v>0.48391332895600792</v>
      </c>
      <c r="J66" s="17">
        <v>84.7</v>
      </c>
      <c r="K66" s="17">
        <v>96.5</v>
      </c>
      <c r="L66" s="17">
        <v>67.5</v>
      </c>
      <c r="M66" s="15">
        <f t="shared" si="10"/>
        <v>281.75574999999998</v>
      </c>
      <c r="N66" s="16">
        <f t="shared" si="11"/>
        <v>0.25703437644892474</v>
      </c>
      <c r="O66" s="8" t="s">
        <v>98</v>
      </c>
      <c r="P66" s="1"/>
      <c r="Q66" s="1"/>
      <c r="R66" s="1"/>
      <c r="S66" s="1"/>
      <c r="T66" s="1"/>
      <c r="U66" s="1"/>
      <c r="V66" s="1"/>
      <c r="W66" s="1"/>
      <c r="X66" s="1"/>
      <c r="Y66" s="1"/>
      <c r="Z66" s="1"/>
    </row>
    <row r="67" spans="1:26">
      <c r="A67" s="12">
        <v>45658</v>
      </c>
      <c r="B67" s="8" t="s">
        <v>70</v>
      </c>
      <c r="C67" s="13">
        <v>59518</v>
      </c>
      <c r="D67" s="14">
        <v>12.79</v>
      </c>
      <c r="E67" s="15">
        <f t="shared" si="6"/>
        <v>761.23522000000003</v>
      </c>
      <c r="F67" s="14">
        <v>6.63</v>
      </c>
      <c r="G67" s="15">
        <f t="shared" si="7"/>
        <v>394.60433999999998</v>
      </c>
      <c r="H67" s="15">
        <f t="shared" si="8"/>
        <v>366.63088000000005</v>
      </c>
      <c r="I67" s="16">
        <f t="shared" si="9"/>
        <v>0.48162627052384682</v>
      </c>
      <c r="J67" s="17">
        <v>67.099999999999994</v>
      </c>
      <c r="K67" s="17">
        <v>86.5</v>
      </c>
      <c r="L67" s="17">
        <v>62.7</v>
      </c>
      <c r="M67" s="15">
        <f t="shared" si="10"/>
        <v>150.33088000000004</v>
      </c>
      <c r="N67" s="16">
        <f t="shared" si="11"/>
        <v>0.19748282272068288</v>
      </c>
      <c r="O67" s="8" t="s">
        <v>98</v>
      </c>
      <c r="P67" s="1"/>
      <c r="Q67" s="1"/>
      <c r="R67" s="1"/>
      <c r="S67" s="1"/>
      <c r="T67" s="1"/>
      <c r="U67" s="1"/>
      <c r="V67" s="1"/>
      <c r="W67" s="1"/>
      <c r="X67" s="1"/>
      <c r="Y67" s="1"/>
      <c r="Z67" s="1"/>
    </row>
    <row r="68" spans="1:26">
      <c r="A68" s="12">
        <v>45658</v>
      </c>
      <c r="B68" s="8" t="s">
        <v>71</v>
      </c>
      <c r="C68" s="13">
        <v>47394</v>
      </c>
      <c r="D68" s="14">
        <v>19.940000000000001</v>
      </c>
      <c r="E68" s="15">
        <f t="shared" ref="E68:E99" si="12">C68*D68/1000</f>
        <v>945.03636000000006</v>
      </c>
      <c r="F68" s="14">
        <v>11.21</v>
      </c>
      <c r="G68" s="15">
        <f t="shared" ref="G68:G99" si="13">C68*F68/1000</f>
        <v>531.28674000000001</v>
      </c>
      <c r="H68" s="15">
        <f t="shared" ref="H68:H99" si="14">E68-G68</f>
        <v>413.74962000000005</v>
      </c>
      <c r="I68" s="16">
        <f t="shared" ref="I68:I99" si="15">IFERROR(H68/E68,0)</f>
        <v>0.43781344032096292</v>
      </c>
      <c r="J68" s="17">
        <v>63.4</v>
      </c>
      <c r="K68" s="17">
        <v>80.8</v>
      </c>
      <c r="L68" s="17">
        <v>60.8</v>
      </c>
      <c r="M68" s="15">
        <f t="shared" ref="M68:M99" si="16">H68-J68-K68-L68</f>
        <v>208.74962000000005</v>
      </c>
      <c r="N68" s="16">
        <f t="shared" ref="N68:N99" si="17">IFERROR(M68/E68,0)</f>
        <v>0.22089056975543253</v>
      </c>
      <c r="O68" s="8" t="s">
        <v>98</v>
      </c>
      <c r="P68" s="1"/>
      <c r="Q68" s="1"/>
      <c r="R68" s="1"/>
      <c r="S68" s="1"/>
      <c r="T68" s="1"/>
      <c r="U68" s="1"/>
      <c r="V68" s="1"/>
      <c r="W68" s="1"/>
      <c r="X68" s="1"/>
      <c r="Y68" s="1"/>
      <c r="Z68" s="1"/>
    </row>
    <row r="69" spans="1:26">
      <c r="A69" s="12">
        <v>45689</v>
      </c>
      <c r="B69" s="8" t="s">
        <v>67</v>
      </c>
      <c r="C69" s="13">
        <v>120448</v>
      </c>
      <c r="D69" s="14">
        <v>8.6300000000000008</v>
      </c>
      <c r="E69" s="15">
        <f t="shared" si="12"/>
        <v>1039.4662400000002</v>
      </c>
      <c r="F69" s="14">
        <v>4.3899999999999997</v>
      </c>
      <c r="G69" s="15">
        <f t="shared" si="13"/>
        <v>528.76671999999996</v>
      </c>
      <c r="H69" s="15">
        <f t="shared" si="14"/>
        <v>510.69952000000023</v>
      </c>
      <c r="I69" s="16">
        <f t="shared" si="15"/>
        <v>0.49130938586326778</v>
      </c>
      <c r="J69" s="17">
        <v>77.5</v>
      </c>
      <c r="K69" s="17">
        <v>119.7</v>
      </c>
      <c r="L69" s="17">
        <v>85.6</v>
      </c>
      <c r="M69" s="15">
        <f t="shared" si="16"/>
        <v>227.89952000000025</v>
      </c>
      <c r="N69" s="16">
        <f t="shared" si="17"/>
        <v>0.21924667798734879</v>
      </c>
      <c r="O69" s="8" t="s">
        <v>98</v>
      </c>
      <c r="P69" s="1"/>
      <c r="Q69" s="1"/>
      <c r="R69" s="1"/>
      <c r="S69" s="1"/>
      <c r="T69" s="1"/>
      <c r="U69" s="1"/>
      <c r="V69" s="1"/>
      <c r="W69" s="1"/>
      <c r="X69" s="1"/>
      <c r="Y69" s="1"/>
      <c r="Z69" s="1"/>
    </row>
    <row r="70" spans="1:26">
      <c r="A70" s="12">
        <v>45689</v>
      </c>
      <c r="B70" s="8" t="s">
        <v>68</v>
      </c>
      <c r="C70" s="13">
        <v>92400</v>
      </c>
      <c r="D70" s="14">
        <v>10.48</v>
      </c>
      <c r="E70" s="15">
        <f t="shared" si="12"/>
        <v>968.35199999999998</v>
      </c>
      <c r="F70" s="14">
        <v>5.78</v>
      </c>
      <c r="G70" s="15">
        <f t="shared" si="13"/>
        <v>534.072</v>
      </c>
      <c r="H70" s="15">
        <f t="shared" si="14"/>
        <v>434.28</v>
      </c>
      <c r="I70" s="16">
        <f t="shared" si="15"/>
        <v>0.44847328244274809</v>
      </c>
      <c r="J70" s="17">
        <v>58.7</v>
      </c>
      <c r="K70" s="17">
        <v>105.8</v>
      </c>
      <c r="L70" s="17">
        <v>73</v>
      </c>
      <c r="M70" s="15">
        <f t="shared" si="16"/>
        <v>196.77999999999997</v>
      </c>
      <c r="N70" s="16">
        <f t="shared" si="17"/>
        <v>0.20321122897458774</v>
      </c>
      <c r="O70" s="8" t="s">
        <v>98</v>
      </c>
      <c r="P70" s="1"/>
      <c r="Q70" s="1"/>
      <c r="R70" s="1"/>
      <c r="S70" s="1"/>
      <c r="T70" s="1"/>
      <c r="U70" s="1"/>
      <c r="V70" s="1"/>
      <c r="W70" s="1"/>
      <c r="X70" s="1"/>
      <c r="Y70" s="1"/>
      <c r="Z70" s="1"/>
    </row>
    <row r="71" spans="1:26">
      <c r="A71" s="12">
        <v>45689</v>
      </c>
      <c r="B71" s="8" t="s">
        <v>69</v>
      </c>
      <c r="C71" s="13">
        <v>72163</v>
      </c>
      <c r="D71" s="14">
        <v>15.28</v>
      </c>
      <c r="E71" s="15">
        <f t="shared" si="12"/>
        <v>1102.6506399999998</v>
      </c>
      <c r="F71" s="14">
        <v>7.94</v>
      </c>
      <c r="G71" s="15">
        <f t="shared" si="13"/>
        <v>572.97421999999995</v>
      </c>
      <c r="H71" s="15">
        <f t="shared" si="14"/>
        <v>529.67641999999989</v>
      </c>
      <c r="I71" s="16">
        <f t="shared" si="15"/>
        <v>0.48036649214659682</v>
      </c>
      <c r="J71" s="17">
        <v>86.7</v>
      </c>
      <c r="K71" s="17">
        <v>93.7</v>
      </c>
      <c r="L71" s="17">
        <v>68.400000000000006</v>
      </c>
      <c r="M71" s="15">
        <f t="shared" si="16"/>
        <v>280.87641999999994</v>
      </c>
      <c r="N71" s="16">
        <f t="shared" si="17"/>
        <v>0.25472838795069302</v>
      </c>
      <c r="O71" s="8" t="s">
        <v>98</v>
      </c>
      <c r="P71" s="1"/>
      <c r="Q71" s="1"/>
      <c r="R71" s="1"/>
      <c r="S71" s="1"/>
      <c r="T71" s="1"/>
      <c r="U71" s="1"/>
      <c r="V71" s="1"/>
      <c r="W71" s="1"/>
      <c r="X71" s="1"/>
      <c r="Y71" s="1"/>
      <c r="Z71" s="1"/>
    </row>
    <row r="72" spans="1:26">
      <c r="A72" s="12">
        <v>45689</v>
      </c>
      <c r="B72" s="8" t="s">
        <v>70</v>
      </c>
      <c r="C72" s="13">
        <v>62174</v>
      </c>
      <c r="D72" s="14">
        <v>12.69</v>
      </c>
      <c r="E72" s="15">
        <f t="shared" si="12"/>
        <v>788.9880599999999</v>
      </c>
      <c r="F72" s="14">
        <v>6.64</v>
      </c>
      <c r="G72" s="15">
        <f t="shared" si="13"/>
        <v>412.83535999999998</v>
      </c>
      <c r="H72" s="15">
        <f t="shared" si="14"/>
        <v>376.15269999999992</v>
      </c>
      <c r="I72" s="16">
        <f t="shared" si="15"/>
        <v>0.47675334909377459</v>
      </c>
      <c r="J72" s="17">
        <v>74.7</v>
      </c>
      <c r="K72" s="17">
        <v>88.1</v>
      </c>
      <c r="L72" s="17">
        <v>61.9</v>
      </c>
      <c r="M72" s="15">
        <f t="shared" si="16"/>
        <v>151.45269999999994</v>
      </c>
      <c r="N72" s="16">
        <f t="shared" si="17"/>
        <v>0.19195816474079463</v>
      </c>
      <c r="O72" s="8" t="s">
        <v>98</v>
      </c>
      <c r="P72" s="1"/>
      <c r="Q72" s="1"/>
      <c r="R72" s="1"/>
      <c r="S72" s="1"/>
      <c r="T72" s="1"/>
      <c r="U72" s="1"/>
      <c r="V72" s="1"/>
      <c r="W72" s="1"/>
      <c r="X72" s="1"/>
      <c r="Y72" s="1"/>
      <c r="Z72" s="1"/>
    </row>
    <row r="73" spans="1:26">
      <c r="A73" s="12">
        <v>45689</v>
      </c>
      <c r="B73" s="8" t="s">
        <v>71</v>
      </c>
      <c r="C73" s="13">
        <v>47720</v>
      </c>
      <c r="D73" s="14">
        <v>19.850000000000001</v>
      </c>
      <c r="E73" s="15">
        <f t="shared" si="12"/>
        <v>947.24200000000008</v>
      </c>
      <c r="F73" s="14">
        <v>11.24</v>
      </c>
      <c r="G73" s="15">
        <f t="shared" si="13"/>
        <v>536.3728000000001</v>
      </c>
      <c r="H73" s="15">
        <f t="shared" si="14"/>
        <v>410.86919999999998</v>
      </c>
      <c r="I73" s="16">
        <f t="shared" si="15"/>
        <v>0.43375314861460951</v>
      </c>
      <c r="J73" s="17">
        <v>64.2</v>
      </c>
      <c r="K73" s="17">
        <v>80.400000000000006</v>
      </c>
      <c r="L73" s="17">
        <v>58.2</v>
      </c>
      <c r="M73" s="15">
        <f t="shared" si="16"/>
        <v>208.06919999999997</v>
      </c>
      <c r="N73" s="16">
        <f t="shared" si="17"/>
        <v>0.21965791212805169</v>
      </c>
      <c r="O73" s="8" t="s">
        <v>98</v>
      </c>
      <c r="P73" s="1"/>
      <c r="Q73" s="1"/>
      <c r="R73" s="1"/>
      <c r="S73" s="1"/>
      <c r="T73" s="1"/>
      <c r="U73" s="1"/>
      <c r="V73" s="1"/>
      <c r="W73" s="1"/>
      <c r="X73" s="1"/>
      <c r="Y73" s="1"/>
      <c r="Z73" s="1"/>
    </row>
    <row r="74" spans="1:26">
      <c r="A74" s="12">
        <v>45717</v>
      </c>
      <c r="B74" s="8" t="s">
        <v>67</v>
      </c>
      <c r="C74" s="13">
        <v>121346</v>
      </c>
      <c r="D74" s="14">
        <v>8.64</v>
      </c>
      <c r="E74" s="15">
        <f t="shared" si="12"/>
        <v>1048.4294400000001</v>
      </c>
      <c r="F74" s="14">
        <v>4.38</v>
      </c>
      <c r="G74" s="15">
        <f t="shared" si="13"/>
        <v>531.49547999999993</v>
      </c>
      <c r="H74" s="15">
        <f t="shared" si="14"/>
        <v>516.93396000000018</v>
      </c>
      <c r="I74" s="16">
        <f t="shared" si="15"/>
        <v>0.49305555555555569</v>
      </c>
      <c r="J74" s="17">
        <v>80</v>
      </c>
      <c r="K74" s="17">
        <v>122.7</v>
      </c>
      <c r="L74" s="17">
        <v>85.4</v>
      </c>
      <c r="M74" s="15">
        <f t="shared" si="16"/>
        <v>228.83396000000019</v>
      </c>
      <c r="N74" s="16">
        <f t="shared" si="17"/>
        <v>0.21826357718455539</v>
      </c>
      <c r="O74" s="8" t="s">
        <v>98</v>
      </c>
      <c r="P74" s="1"/>
      <c r="Q74" s="1"/>
      <c r="R74" s="1"/>
      <c r="S74" s="1"/>
      <c r="T74" s="1"/>
      <c r="U74" s="1"/>
      <c r="V74" s="1"/>
      <c r="W74" s="1"/>
      <c r="X74" s="1"/>
      <c r="Y74" s="1"/>
      <c r="Z74" s="1"/>
    </row>
    <row r="75" spans="1:26">
      <c r="A75" s="12">
        <v>45717</v>
      </c>
      <c r="B75" s="8" t="s">
        <v>68</v>
      </c>
      <c r="C75" s="13">
        <v>97823</v>
      </c>
      <c r="D75" s="14">
        <v>10.38</v>
      </c>
      <c r="E75" s="15">
        <f t="shared" si="12"/>
        <v>1015.4027400000001</v>
      </c>
      <c r="F75" s="14">
        <v>5.8</v>
      </c>
      <c r="G75" s="15">
        <f t="shared" si="13"/>
        <v>567.37340000000006</v>
      </c>
      <c r="H75" s="15">
        <f t="shared" si="14"/>
        <v>448.02934000000005</v>
      </c>
      <c r="I75" s="16">
        <f t="shared" si="15"/>
        <v>0.44123314065510599</v>
      </c>
      <c r="J75" s="17">
        <v>64.599999999999994</v>
      </c>
      <c r="K75" s="17">
        <v>104</v>
      </c>
      <c r="L75" s="17">
        <v>74.099999999999994</v>
      </c>
      <c r="M75" s="15">
        <f t="shared" si="16"/>
        <v>205.32934000000003</v>
      </c>
      <c r="N75" s="16">
        <f t="shared" si="17"/>
        <v>0.20221467986190386</v>
      </c>
      <c r="O75" s="8" t="s">
        <v>98</v>
      </c>
      <c r="P75" s="1"/>
      <c r="Q75" s="1"/>
      <c r="R75" s="1"/>
      <c r="S75" s="1"/>
      <c r="T75" s="1"/>
      <c r="U75" s="1"/>
      <c r="V75" s="1"/>
      <c r="W75" s="1"/>
      <c r="X75" s="1"/>
      <c r="Y75" s="1"/>
      <c r="Z75" s="1"/>
    </row>
    <row r="76" spans="1:26">
      <c r="A76" s="12">
        <v>45717</v>
      </c>
      <c r="B76" s="8" t="s">
        <v>69</v>
      </c>
      <c r="C76" s="13">
        <v>73634</v>
      </c>
      <c r="D76" s="14">
        <v>15.3</v>
      </c>
      <c r="E76" s="15">
        <f t="shared" si="12"/>
        <v>1126.6001999999999</v>
      </c>
      <c r="F76" s="14">
        <v>7.89</v>
      </c>
      <c r="G76" s="15">
        <f t="shared" si="13"/>
        <v>580.97226000000001</v>
      </c>
      <c r="H76" s="15">
        <f t="shared" si="14"/>
        <v>545.62793999999985</v>
      </c>
      <c r="I76" s="16">
        <f t="shared" si="15"/>
        <v>0.48431372549019602</v>
      </c>
      <c r="J76" s="17">
        <v>86.8</v>
      </c>
      <c r="K76" s="17">
        <v>94.5</v>
      </c>
      <c r="L76" s="17">
        <v>70</v>
      </c>
      <c r="M76" s="15">
        <f t="shared" si="16"/>
        <v>294.32793999999984</v>
      </c>
      <c r="N76" s="16">
        <f t="shared" si="17"/>
        <v>0.26125322896267894</v>
      </c>
      <c r="O76" s="8" t="s">
        <v>98</v>
      </c>
      <c r="P76" s="1"/>
      <c r="Q76" s="1"/>
      <c r="R76" s="1"/>
      <c r="S76" s="1"/>
      <c r="T76" s="1"/>
      <c r="U76" s="1"/>
      <c r="V76" s="1"/>
      <c r="W76" s="1"/>
      <c r="X76" s="1"/>
      <c r="Y76" s="1"/>
      <c r="Z76" s="1"/>
    </row>
    <row r="77" spans="1:26">
      <c r="A77" s="12">
        <v>45717</v>
      </c>
      <c r="B77" s="8" t="s">
        <v>70</v>
      </c>
      <c r="C77" s="13">
        <v>63999</v>
      </c>
      <c r="D77" s="14">
        <v>12.78</v>
      </c>
      <c r="E77" s="15">
        <f t="shared" si="12"/>
        <v>817.90721999999994</v>
      </c>
      <c r="F77" s="14">
        <v>6.62</v>
      </c>
      <c r="G77" s="15">
        <f t="shared" si="13"/>
        <v>423.67338000000001</v>
      </c>
      <c r="H77" s="15">
        <f t="shared" si="14"/>
        <v>394.23383999999993</v>
      </c>
      <c r="I77" s="16">
        <f t="shared" si="15"/>
        <v>0.4820031298904538</v>
      </c>
      <c r="J77" s="17">
        <v>80.3</v>
      </c>
      <c r="K77" s="17">
        <v>87.8</v>
      </c>
      <c r="L77" s="17">
        <v>65.099999999999994</v>
      </c>
      <c r="M77" s="15">
        <f t="shared" si="16"/>
        <v>161.03383999999991</v>
      </c>
      <c r="N77" s="16">
        <f t="shared" si="17"/>
        <v>0.19688521639410386</v>
      </c>
      <c r="O77" s="8" t="s">
        <v>98</v>
      </c>
      <c r="P77" s="1"/>
      <c r="Q77" s="1"/>
      <c r="R77" s="1"/>
      <c r="S77" s="1"/>
      <c r="T77" s="1"/>
      <c r="U77" s="1"/>
      <c r="V77" s="1"/>
      <c r="W77" s="1"/>
      <c r="X77" s="1"/>
      <c r="Y77" s="1"/>
      <c r="Z77" s="1"/>
    </row>
    <row r="78" spans="1:26">
      <c r="A78" s="12">
        <v>45717</v>
      </c>
      <c r="B78" s="8" t="s">
        <v>71</v>
      </c>
      <c r="C78" s="13">
        <v>52191</v>
      </c>
      <c r="D78" s="14">
        <v>20.04</v>
      </c>
      <c r="E78" s="15">
        <f t="shared" si="12"/>
        <v>1045.9076399999999</v>
      </c>
      <c r="F78" s="14">
        <v>11.37</v>
      </c>
      <c r="G78" s="15">
        <f t="shared" si="13"/>
        <v>593.41166999999996</v>
      </c>
      <c r="H78" s="15">
        <f t="shared" si="14"/>
        <v>452.49596999999994</v>
      </c>
      <c r="I78" s="16">
        <f t="shared" si="15"/>
        <v>0.43263473053892215</v>
      </c>
      <c r="J78" s="17">
        <v>71.2</v>
      </c>
      <c r="K78" s="17">
        <v>80.3</v>
      </c>
      <c r="L78" s="17">
        <v>60.2</v>
      </c>
      <c r="M78" s="15">
        <f t="shared" si="16"/>
        <v>240.79596999999995</v>
      </c>
      <c r="N78" s="16">
        <f t="shared" si="17"/>
        <v>0.23022680090567077</v>
      </c>
      <c r="O78" s="8" t="s">
        <v>98</v>
      </c>
      <c r="P78" s="1"/>
      <c r="Q78" s="1"/>
      <c r="R78" s="1"/>
      <c r="S78" s="1"/>
      <c r="T78" s="1"/>
      <c r="U78" s="1"/>
      <c r="V78" s="1"/>
      <c r="W78" s="1"/>
      <c r="X78" s="1"/>
      <c r="Y78" s="1"/>
      <c r="Z78" s="1"/>
    </row>
    <row r="79" spans="1:26">
      <c r="A79" s="12">
        <v>45748</v>
      </c>
      <c r="B79" s="8" t="s">
        <v>67</v>
      </c>
      <c r="C79" s="13">
        <v>126739</v>
      </c>
      <c r="D79" s="14">
        <v>8.65</v>
      </c>
      <c r="E79" s="15">
        <f t="shared" si="12"/>
        <v>1096.2923500000002</v>
      </c>
      <c r="F79" s="14">
        <v>4.41</v>
      </c>
      <c r="G79" s="15">
        <f t="shared" si="13"/>
        <v>558.91899000000001</v>
      </c>
      <c r="H79" s="15">
        <f t="shared" si="14"/>
        <v>537.37336000000016</v>
      </c>
      <c r="I79" s="16">
        <f t="shared" si="15"/>
        <v>0.49017341040462437</v>
      </c>
      <c r="J79" s="17">
        <v>78</v>
      </c>
      <c r="K79" s="17">
        <v>121.2</v>
      </c>
      <c r="L79" s="17">
        <v>87.8</v>
      </c>
      <c r="M79" s="15">
        <f t="shared" si="16"/>
        <v>250.37336000000016</v>
      </c>
      <c r="N79" s="16">
        <f t="shared" si="17"/>
        <v>0.22838192750318848</v>
      </c>
      <c r="O79" s="8" t="s">
        <v>98</v>
      </c>
      <c r="P79" s="1"/>
      <c r="Q79" s="1"/>
      <c r="R79" s="1"/>
      <c r="S79" s="1"/>
      <c r="T79" s="1"/>
      <c r="U79" s="1"/>
      <c r="V79" s="1"/>
      <c r="W79" s="1"/>
      <c r="X79" s="1"/>
      <c r="Y79" s="1"/>
      <c r="Z79" s="1"/>
    </row>
    <row r="80" spans="1:26">
      <c r="A80" s="12">
        <v>45748</v>
      </c>
      <c r="B80" s="8" t="s">
        <v>68</v>
      </c>
      <c r="C80" s="13">
        <v>99562</v>
      </c>
      <c r="D80" s="14">
        <v>10.47</v>
      </c>
      <c r="E80" s="15">
        <f t="shared" si="12"/>
        <v>1042.4141400000001</v>
      </c>
      <c r="F80" s="14">
        <v>5.78</v>
      </c>
      <c r="G80" s="15">
        <f t="shared" si="13"/>
        <v>575.46835999999996</v>
      </c>
      <c r="H80" s="15">
        <f t="shared" si="14"/>
        <v>466.94578000000013</v>
      </c>
      <c r="I80" s="16">
        <f t="shared" si="15"/>
        <v>0.44794651384909273</v>
      </c>
      <c r="J80" s="17">
        <v>61.3</v>
      </c>
      <c r="K80" s="17">
        <v>103.8</v>
      </c>
      <c r="L80" s="17">
        <v>73.400000000000006</v>
      </c>
      <c r="M80" s="15">
        <f t="shared" si="16"/>
        <v>228.4457800000001</v>
      </c>
      <c r="N80" s="16">
        <f t="shared" si="17"/>
        <v>0.21915069187376918</v>
      </c>
      <c r="O80" s="8" t="s">
        <v>98</v>
      </c>
      <c r="P80" s="1"/>
      <c r="Q80" s="1"/>
      <c r="R80" s="1"/>
      <c r="S80" s="1"/>
      <c r="T80" s="1"/>
      <c r="U80" s="1"/>
      <c r="V80" s="1"/>
      <c r="W80" s="1"/>
      <c r="X80" s="1"/>
      <c r="Y80" s="1"/>
      <c r="Z80" s="1"/>
    </row>
    <row r="81" spans="1:26">
      <c r="A81" s="12">
        <v>45748</v>
      </c>
      <c r="B81" s="8" t="s">
        <v>69</v>
      </c>
      <c r="C81" s="13">
        <v>74888</v>
      </c>
      <c r="D81" s="14">
        <v>15.14</v>
      </c>
      <c r="E81" s="15">
        <f t="shared" si="12"/>
        <v>1133.80432</v>
      </c>
      <c r="F81" s="14">
        <v>7.9</v>
      </c>
      <c r="G81" s="15">
        <f t="shared" si="13"/>
        <v>591.61520000000007</v>
      </c>
      <c r="H81" s="15">
        <f t="shared" si="14"/>
        <v>542.18911999999989</v>
      </c>
      <c r="I81" s="16">
        <f t="shared" si="15"/>
        <v>0.47820343461030373</v>
      </c>
      <c r="J81" s="17">
        <v>88.7</v>
      </c>
      <c r="K81" s="17">
        <v>94.4</v>
      </c>
      <c r="L81" s="17">
        <v>69.2</v>
      </c>
      <c r="M81" s="15">
        <f t="shared" si="16"/>
        <v>289.88911999999988</v>
      </c>
      <c r="N81" s="16">
        <f t="shared" si="17"/>
        <v>0.25567826377659231</v>
      </c>
      <c r="O81" s="8" t="s">
        <v>98</v>
      </c>
      <c r="P81" s="1"/>
      <c r="Q81" s="1"/>
      <c r="R81" s="1"/>
      <c r="S81" s="1"/>
      <c r="T81" s="1"/>
      <c r="U81" s="1"/>
      <c r="V81" s="1"/>
      <c r="W81" s="1"/>
      <c r="X81" s="1"/>
      <c r="Y81" s="1"/>
      <c r="Z81" s="1"/>
    </row>
    <row r="82" spans="1:26">
      <c r="A82" s="12">
        <v>45748</v>
      </c>
      <c r="B82" s="8" t="s">
        <v>70</v>
      </c>
      <c r="C82" s="13">
        <v>65780</v>
      </c>
      <c r="D82" s="14">
        <v>12.63</v>
      </c>
      <c r="E82" s="15">
        <f t="shared" si="12"/>
        <v>830.80140000000006</v>
      </c>
      <c r="F82" s="14">
        <v>6.58</v>
      </c>
      <c r="G82" s="15">
        <f t="shared" si="13"/>
        <v>432.83240000000001</v>
      </c>
      <c r="H82" s="15">
        <f t="shared" si="14"/>
        <v>397.96900000000005</v>
      </c>
      <c r="I82" s="16">
        <f t="shared" si="15"/>
        <v>0.47901821060965954</v>
      </c>
      <c r="J82" s="17">
        <v>76.099999999999994</v>
      </c>
      <c r="K82" s="17">
        <v>87</v>
      </c>
      <c r="L82" s="17">
        <v>61.8</v>
      </c>
      <c r="M82" s="15">
        <f t="shared" si="16"/>
        <v>173.06900000000002</v>
      </c>
      <c r="N82" s="16">
        <f t="shared" si="17"/>
        <v>0.20831572984831273</v>
      </c>
      <c r="O82" s="8" t="s">
        <v>98</v>
      </c>
      <c r="P82" s="1"/>
      <c r="Q82" s="1"/>
      <c r="R82" s="1"/>
      <c r="S82" s="1"/>
      <c r="T82" s="1"/>
      <c r="U82" s="1"/>
      <c r="V82" s="1"/>
      <c r="W82" s="1"/>
      <c r="X82" s="1"/>
      <c r="Y82" s="1"/>
      <c r="Z82" s="1"/>
    </row>
    <row r="83" spans="1:26">
      <c r="A83" s="12">
        <v>45748</v>
      </c>
      <c r="B83" s="8" t="s">
        <v>71</v>
      </c>
      <c r="C83" s="13">
        <v>51025</v>
      </c>
      <c r="D83" s="14">
        <v>20.14</v>
      </c>
      <c r="E83" s="15">
        <f t="shared" si="12"/>
        <v>1027.6434999999999</v>
      </c>
      <c r="F83" s="14">
        <v>11.34</v>
      </c>
      <c r="G83" s="15">
        <f t="shared" si="13"/>
        <v>578.62350000000004</v>
      </c>
      <c r="H83" s="15">
        <f t="shared" si="14"/>
        <v>449.01999999999987</v>
      </c>
      <c r="I83" s="16">
        <f t="shared" si="15"/>
        <v>0.43694141012909626</v>
      </c>
      <c r="J83" s="17">
        <v>72.099999999999994</v>
      </c>
      <c r="K83" s="17">
        <v>80.400000000000006</v>
      </c>
      <c r="L83" s="17">
        <v>61.1</v>
      </c>
      <c r="M83" s="15">
        <f t="shared" si="16"/>
        <v>235.41999999999987</v>
      </c>
      <c r="N83" s="16">
        <f t="shared" si="17"/>
        <v>0.22908722723395797</v>
      </c>
      <c r="O83" s="8" t="s">
        <v>98</v>
      </c>
      <c r="P83" s="1"/>
      <c r="Q83" s="1"/>
      <c r="R83" s="1"/>
      <c r="S83" s="1"/>
      <c r="T83" s="1"/>
      <c r="U83" s="1"/>
      <c r="V83" s="1"/>
      <c r="W83" s="1"/>
      <c r="X83" s="1"/>
      <c r="Y83" s="1"/>
      <c r="Z83" s="1"/>
    </row>
    <row r="84" spans="1:26">
      <c r="A84" s="12">
        <v>45778</v>
      </c>
      <c r="B84" s="8" t="s">
        <v>67</v>
      </c>
      <c r="C84" s="13">
        <v>125946</v>
      </c>
      <c r="D84" s="14">
        <v>8.5500000000000007</v>
      </c>
      <c r="E84" s="15">
        <f t="shared" si="12"/>
        <v>1076.8383000000001</v>
      </c>
      <c r="F84" s="14">
        <v>4.4000000000000004</v>
      </c>
      <c r="G84" s="15">
        <f t="shared" si="13"/>
        <v>554.16240000000005</v>
      </c>
      <c r="H84" s="15">
        <f t="shared" si="14"/>
        <v>522.67590000000007</v>
      </c>
      <c r="I84" s="16">
        <f t="shared" si="15"/>
        <v>0.48538011695906436</v>
      </c>
      <c r="J84" s="17">
        <v>82.9</v>
      </c>
      <c r="K84" s="17">
        <v>124.9</v>
      </c>
      <c r="L84" s="17">
        <v>89.7</v>
      </c>
      <c r="M84" s="15">
        <f t="shared" si="16"/>
        <v>225.17590000000013</v>
      </c>
      <c r="N84" s="16">
        <f t="shared" si="17"/>
        <v>0.20910836845234804</v>
      </c>
      <c r="O84" s="8" t="s">
        <v>98</v>
      </c>
      <c r="P84" s="1"/>
      <c r="Q84" s="1"/>
      <c r="R84" s="1"/>
      <c r="S84" s="1"/>
      <c r="T84" s="1"/>
      <c r="U84" s="1"/>
      <c r="V84" s="1"/>
      <c r="W84" s="1"/>
      <c r="X84" s="1"/>
      <c r="Y84" s="1"/>
      <c r="Z84" s="1"/>
    </row>
    <row r="85" spans="1:26">
      <c r="A85" s="12">
        <v>45778</v>
      </c>
      <c r="B85" s="8" t="s">
        <v>68</v>
      </c>
      <c r="C85" s="13">
        <v>100105</v>
      </c>
      <c r="D85" s="14">
        <v>10.51</v>
      </c>
      <c r="E85" s="15">
        <f t="shared" si="12"/>
        <v>1052.10355</v>
      </c>
      <c r="F85" s="14">
        <v>5.77</v>
      </c>
      <c r="G85" s="15">
        <f t="shared" si="13"/>
        <v>577.60585000000003</v>
      </c>
      <c r="H85" s="15">
        <f t="shared" si="14"/>
        <v>474.49770000000001</v>
      </c>
      <c r="I85" s="16">
        <f t="shared" si="15"/>
        <v>0.45099904852521405</v>
      </c>
      <c r="J85" s="17">
        <v>65.2</v>
      </c>
      <c r="K85" s="17">
        <v>104.6</v>
      </c>
      <c r="L85" s="17">
        <v>73.099999999999994</v>
      </c>
      <c r="M85" s="15">
        <f t="shared" si="16"/>
        <v>231.59770000000006</v>
      </c>
      <c r="N85" s="16">
        <f t="shared" si="17"/>
        <v>0.22012823737739506</v>
      </c>
      <c r="O85" s="8" t="s">
        <v>98</v>
      </c>
      <c r="P85" s="1"/>
      <c r="Q85" s="1"/>
      <c r="R85" s="1"/>
      <c r="S85" s="1"/>
      <c r="T85" s="1"/>
      <c r="U85" s="1"/>
      <c r="V85" s="1"/>
      <c r="W85" s="1"/>
      <c r="X85" s="1"/>
      <c r="Y85" s="1"/>
      <c r="Z85" s="1"/>
    </row>
    <row r="86" spans="1:26">
      <c r="A86" s="12">
        <v>45778</v>
      </c>
      <c r="B86" s="8" t="s">
        <v>69</v>
      </c>
      <c r="C86" s="13">
        <v>78035</v>
      </c>
      <c r="D86" s="14">
        <v>15.07</v>
      </c>
      <c r="E86" s="15">
        <f t="shared" si="12"/>
        <v>1175.9874499999999</v>
      </c>
      <c r="F86" s="14">
        <v>7.86</v>
      </c>
      <c r="G86" s="15">
        <f t="shared" si="13"/>
        <v>613.35509999999999</v>
      </c>
      <c r="H86" s="15">
        <f t="shared" si="14"/>
        <v>562.63234999999986</v>
      </c>
      <c r="I86" s="16">
        <f t="shared" si="15"/>
        <v>0.47843397478433969</v>
      </c>
      <c r="J86" s="17">
        <v>100.4</v>
      </c>
      <c r="K86" s="17">
        <v>95.2</v>
      </c>
      <c r="L86" s="17">
        <v>66.7</v>
      </c>
      <c r="M86" s="15">
        <f t="shared" si="16"/>
        <v>300.33234999999991</v>
      </c>
      <c r="N86" s="16">
        <f t="shared" si="17"/>
        <v>0.25538737679556012</v>
      </c>
      <c r="O86" s="8" t="s">
        <v>98</v>
      </c>
      <c r="P86" s="1"/>
      <c r="Q86" s="1"/>
      <c r="R86" s="1"/>
      <c r="S86" s="1"/>
      <c r="T86" s="1"/>
      <c r="U86" s="1"/>
      <c r="V86" s="1"/>
      <c r="W86" s="1"/>
      <c r="X86" s="1"/>
      <c r="Y86" s="1"/>
      <c r="Z86" s="1"/>
    </row>
    <row r="87" spans="1:26">
      <c r="A87" s="12">
        <v>45778</v>
      </c>
      <c r="B87" s="8" t="s">
        <v>70</v>
      </c>
      <c r="C87" s="13">
        <v>66636</v>
      </c>
      <c r="D87" s="14">
        <v>12.65</v>
      </c>
      <c r="E87" s="15">
        <f t="shared" si="12"/>
        <v>842.94540000000006</v>
      </c>
      <c r="F87" s="14">
        <v>6.61</v>
      </c>
      <c r="G87" s="15">
        <f t="shared" si="13"/>
        <v>440.46396000000004</v>
      </c>
      <c r="H87" s="15">
        <f t="shared" si="14"/>
        <v>402.48144000000002</v>
      </c>
      <c r="I87" s="16">
        <f t="shared" si="15"/>
        <v>0.47747035573122526</v>
      </c>
      <c r="J87" s="17">
        <v>70.900000000000006</v>
      </c>
      <c r="K87" s="17">
        <v>86.9</v>
      </c>
      <c r="L87" s="17">
        <v>63.4</v>
      </c>
      <c r="M87" s="15">
        <f t="shared" si="16"/>
        <v>181.28144000000003</v>
      </c>
      <c r="N87" s="16">
        <f t="shared" si="17"/>
        <v>0.21505715554056054</v>
      </c>
      <c r="O87" s="8" t="s">
        <v>98</v>
      </c>
      <c r="P87" s="1"/>
      <c r="Q87" s="1"/>
      <c r="R87" s="1"/>
      <c r="S87" s="1"/>
      <c r="T87" s="1"/>
      <c r="U87" s="1"/>
      <c r="V87" s="1"/>
      <c r="W87" s="1"/>
      <c r="X87" s="1"/>
      <c r="Y87" s="1"/>
      <c r="Z87" s="1"/>
    </row>
    <row r="88" spans="1:26">
      <c r="A88" s="12">
        <v>45778</v>
      </c>
      <c r="B88" s="8" t="s">
        <v>71</v>
      </c>
      <c r="C88" s="13">
        <v>51102</v>
      </c>
      <c r="D88" s="14">
        <v>20.05</v>
      </c>
      <c r="E88" s="15">
        <f t="shared" si="12"/>
        <v>1024.5951</v>
      </c>
      <c r="F88" s="14">
        <v>11.22</v>
      </c>
      <c r="G88" s="15">
        <f t="shared" si="13"/>
        <v>573.36444000000006</v>
      </c>
      <c r="H88" s="15">
        <f t="shared" si="14"/>
        <v>451.23065999999994</v>
      </c>
      <c r="I88" s="16">
        <f t="shared" si="15"/>
        <v>0.44039900249376551</v>
      </c>
      <c r="J88" s="17">
        <v>69.3</v>
      </c>
      <c r="K88" s="17">
        <v>77.3</v>
      </c>
      <c r="L88" s="17">
        <v>59.5</v>
      </c>
      <c r="M88" s="15">
        <f t="shared" si="16"/>
        <v>245.13065999999992</v>
      </c>
      <c r="N88" s="16">
        <f t="shared" si="17"/>
        <v>0.23924637156668027</v>
      </c>
      <c r="O88" s="8" t="s">
        <v>98</v>
      </c>
      <c r="P88" s="1"/>
      <c r="Q88" s="1"/>
      <c r="R88" s="1"/>
      <c r="S88" s="1"/>
      <c r="T88" s="1"/>
      <c r="U88" s="1"/>
      <c r="V88" s="1"/>
      <c r="W88" s="1"/>
      <c r="X88" s="1"/>
      <c r="Y88" s="1"/>
      <c r="Z88" s="1"/>
    </row>
    <row r="89" spans="1:26">
      <c r="A89" s="12">
        <v>45809</v>
      </c>
      <c r="B89" s="8" t="s">
        <v>67</v>
      </c>
      <c r="C89" s="13">
        <v>126862</v>
      </c>
      <c r="D89" s="14">
        <v>8.59</v>
      </c>
      <c r="E89" s="15">
        <f t="shared" si="12"/>
        <v>1089.74458</v>
      </c>
      <c r="F89" s="14">
        <v>4.4400000000000004</v>
      </c>
      <c r="G89" s="15">
        <f t="shared" si="13"/>
        <v>563.26728000000003</v>
      </c>
      <c r="H89" s="15">
        <f t="shared" si="14"/>
        <v>526.47730000000001</v>
      </c>
      <c r="I89" s="16">
        <f t="shared" si="15"/>
        <v>0.48311990686845169</v>
      </c>
      <c r="J89" s="17">
        <v>79.099999999999994</v>
      </c>
      <c r="K89" s="17">
        <v>124.3</v>
      </c>
      <c r="L89" s="17">
        <v>89</v>
      </c>
      <c r="M89" s="15">
        <f t="shared" si="16"/>
        <v>234.07729999999998</v>
      </c>
      <c r="N89" s="16">
        <f t="shared" si="17"/>
        <v>0.21480015069219244</v>
      </c>
      <c r="O89" s="8" t="s">
        <v>98</v>
      </c>
      <c r="P89" s="1"/>
      <c r="Q89" s="1"/>
      <c r="R89" s="1"/>
      <c r="S89" s="1"/>
      <c r="T89" s="1"/>
      <c r="U89" s="1"/>
      <c r="V89" s="1"/>
      <c r="W89" s="1"/>
      <c r="X89" s="1"/>
      <c r="Y89" s="1"/>
      <c r="Z89" s="1"/>
    </row>
    <row r="90" spans="1:26">
      <c r="A90" s="12">
        <v>45809</v>
      </c>
      <c r="B90" s="8" t="s">
        <v>68</v>
      </c>
      <c r="C90" s="13">
        <v>100850</v>
      </c>
      <c r="D90" s="14">
        <v>10.4</v>
      </c>
      <c r="E90" s="15">
        <f t="shared" si="12"/>
        <v>1048.8399999999999</v>
      </c>
      <c r="F90" s="14">
        <v>5.69</v>
      </c>
      <c r="G90" s="15">
        <f t="shared" si="13"/>
        <v>573.8365</v>
      </c>
      <c r="H90" s="15">
        <f t="shared" si="14"/>
        <v>475.00349999999992</v>
      </c>
      <c r="I90" s="16">
        <f t="shared" si="15"/>
        <v>0.45288461538461533</v>
      </c>
      <c r="J90" s="17">
        <v>64.400000000000006</v>
      </c>
      <c r="K90" s="17">
        <v>108.7</v>
      </c>
      <c r="L90" s="17">
        <v>73.7</v>
      </c>
      <c r="M90" s="15">
        <f t="shared" si="16"/>
        <v>228.20349999999996</v>
      </c>
      <c r="N90" s="16">
        <f t="shared" si="17"/>
        <v>0.21757703748903548</v>
      </c>
      <c r="O90" s="8" t="s">
        <v>98</v>
      </c>
      <c r="P90" s="1"/>
      <c r="Q90" s="1"/>
      <c r="R90" s="1"/>
      <c r="S90" s="1"/>
      <c r="T90" s="1"/>
      <c r="U90" s="1"/>
      <c r="V90" s="1"/>
      <c r="W90" s="1"/>
      <c r="X90" s="1"/>
      <c r="Y90" s="1"/>
      <c r="Z90" s="1"/>
    </row>
    <row r="91" spans="1:26">
      <c r="A91" s="12">
        <v>45809</v>
      </c>
      <c r="B91" s="8" t="s">
        <v>69</v>
      </c>
      <c r="C91" s="13">
        <v>80749</v>
      </c>
      <c r="D91" s="14">
        <v>15.25</v>
      </c>
      <c r="E91" s="15">
        <f t="shared" si="12"/>
        <v>1231.4222500000001</v>
      </c>
      <c r="F91" s="14">
        <v>7.92</v>
      </c>
      <c r="G91" s="15">
        <f t="shared" si="13"/>
        <v>639.53207999999995</v>
      </c>
      <c r="H91" s="15">
        <f t="shared" si="14"/>
        <v>591.89017000000013</v>
      </c>
      <c r="I91" s="16">
        <f t="shared" si="15"/>
        <v>0.4806557377049181</v>
      </c>
      <c r="J91" s="17">
        <v>106.4</v>
      </c>
      <c r="K91" s="17">
        <v>97.8</v>
      </c>
      <c r="L91" s="17">
        <v>66.900000000000006</v>
      </c>
      <c r="M91" s="15">
        <f t="shared" si="16"/>
        <v>320.7901700000001</v>
      </c>
      <c r="N91" s="16">
        <f t="shared" si="17"/>
        <v>0.26050379550962321</v>
      </c>
      <c r="O91" s="8" t="s">
        <v>98</v>
      </c>
      <c r="P91" s="1"/>
      <c r="Q91" s="1"/>
      <c r="R91" s="1"/>
      <c r="S91" s="1"/>
      <c r="T91" s="1"/>
      <c r="U91" s="1"/>
      <c r="V91" s="1"/>
      <c r="W91" s="1"/>
      <c r="X91" s="1"/>
      <c r="Y91" s="1"/>
      <c r="Z91" s="1"/>
    </row>
    <row r="92" spans="1:26">
      <c r="A92" s="12">
        <v>45809</v>
      </c>
      <c r="B92" s="8" t="s">
        <v>70</v>
      </c>
      <c r="C92" s="13">
        <v>65799</v>
      </c>
      <c r="D92" s="14">
        <v>12.65</v>
      </c>
      <c r="E92" s="15">
        <f t="shared" si="12"/>
        <v>832.35735</v>
      </c>
      <c r="F92" s="14">
        <v>6.53</v>
      </c>
      <c r="G92" s="15">
        <f t="shared" si="13"/>
        <v>429.66747000000004</v>
      </c>
      <c r="H92" s="15">
        <f t="shared" si="14"/>
        <v>402.68987999999996</v>
      </c>
      <c r="I92" s="16">
        <f t="shared" si="15"/>
        <v>0.48379446640316198</v>
      </c>
      <c r="J92" s="17">
        <v>77.8</v>
      </c>
      <c r="K92" s="17">
        <v>87.6</v>
      </c>
      <c r="L92" s="17">
        <v>61.9</v>
      </c>
      <c r="M92" s="15">
        <f t="shared" si="16"/>
        <v>175.38987999999995</v>
      </c>
      <c r="N92" s="16">
        <f t="shared" si="17"/>
        <v>0.21071464077298044</v>
      </c>
      <c r="O92" s="8" t="s">
        <v>98</v>
      </c>
      <c r="P92" s="1"/>
      <c r="Q92" s="1"/>
      <c r="R92" s="1"/>
      <c r="S92" s="1"/>
      <c r="T92" s="1"/>
      <c r="U92" s="1"/>
      <c r="V92" s="1"/>
      <c r="W92" s="1"/>
      <c r="X92" s="1"/>
      <c r="Y92" s="1"/>
      <c r="Z92" s="1"/>
    </row>
    <row r="93" spans="1:26">
      <c r="A93" s="12">
        <v>45809</v>
      </c>
      <c r="B93" s="8" t="s">
        <v>71</v>
      </c>
      <c r="C93" s="13">
        <v>54630</v>
      </c>
      <c r="D93" s="14">
        <v>20.09</v>
      </c>
      <c r="E93" s="15">
        <f t="shared" si="12"/>
        <v>1097.5166999999999</v>
      </c>
      <c r="F93" s="14">
        <v>11.22</v>
      </c>
      <c r="G93" s="15">
        <f t="shared" si="13"/>
        <v>612.94860000000006</v>
      </c>
      <c r="H93" s="15">
        <f t="shared" si="14"/>
        <v>484.56809999999984</v>
      </c>
      <c r="I93" s="16">
        <f t="shared" si="15"/>
        <v>0.44151319064211042</v>
      </c>
      <c r="J93" s="17">
        <v>75.900000000000006</v>
      </c>
      <c r="K93" s="17">
        <v>80</v>
      </c>
      <c r="L93" s="17">
        <v>58.4</v>
      </c>
      <c r="M93" s="15">
        <f t="shared" si="16"/>
        <v>270.26809999999989</v>
      </c>
      <c r="N93" s="16">
        <f t="shared" si="17"/>
        <v>0.2462542027834291</v>
      </c>
      <c r="O93" s="8" t="s">
        <v>98</v>
      </c>
      <c r="P93" s="1"/>
      <c r="Q93" s="1"/>
      <c r="R93" s="1"/>
      <c r="S93" s="1"/>
      <c r="T93" s="1"/>
      <c r="U93" s="1"/>
      <c r="V93" s="1"/>
      <c r="W93" s="1"/>
      <c r="X93" s="1"/>
      <c r="Y93" s="1"/>
      <c r="Z93" s="1"/>
    </row>
    <row r="94" spans="1:26">
      <c r="A94" s="12">
        <v>45839</v>
      </c>
      <c r="B94" s="8" t="s">
        <v>67</v>
      </c>
      <c r="C94" s="13">
        <v>133630</v>
      </c>
      <c r="D94" s="14">
        <v>8.68</v>
      </c>
      <c r="E94" s="15">
        <f t="shared" si="12"/>
        <v>1159.9083999999998</v>
      </c>
      <c r="F94" s="14">
        <v>4.37</v>
      </c>
      <c r="G94" s="15">
        <f t="shared" si="13"/>
        <v>583.96309999999994</v>
      </c>
      <c r="H94" s="15">
        <f t="shared" si="14"/>
        <v>575.94529999999986</v>
      </c>
      <c r="I94" s="16">
        <f t="shared" si="15"/>
        <v>0.49654377880184331</v>
      </c>
      <c r="J94" s="17">
        <v>79.3</v>
      </c>
      <c r="K94" s="17">
        <v>121.6</v>
      </c>
      <c r="L94" s="17">
        <v>88</v>
      </c>
      <c r="M94" s="15">
        <f t="shared" si="16"/>
        <v>287.04529999999988</v>
      </c>
      <c r="N94" s="16">
        <f t="shared" si="17"/>
        <v>0.24747238661259796</v>
      </c>
      <c r="O94" s="8" t="s">
        <v>98</v>
      </c>
      <c r="P94" s="1"/>
      <c r="Q94" s="1"/>
      <c r="R94" s="1"/>
      <c r="S94" s="1"/>
      <c r="T94" s="1"/>
      <c r="U94" s="1"/>
      <c r="V94" s="1"/>
      <c r="W94" s="1"/>
      <c r="X94" s="1"/>
      <c r="Y94" s="1"/>
      <c r="Z94" s="1"/>
    </row>
    <row r="95" spans="1:26">
      <c r="A95" s="12">
        <v>45839</v>
      </c>
      <c r="B95" s="8" t="s">
        <v>68</v>
      </c>
      <c r="C95" s="13">
        <v>106930</v>
      </c>
      <c r="D95" s="14">
        <v>10.45</v>
      </c>
      <c r="E95" s="15">
        <f t="shared" si="12"/>
        <v>1117.4185</v>
      </c>
      <c r="F95" s="14">
        <v>5.79</v>
      </c>
      <c r="G95" s="15">
        <f t="shared" si="13"/>
        <v>619.12469999999996</v>
      </c>
      <c r="H95" s="15">
        <f t="shared" si="14"/>
        <v>498.29380000000003</v>
      </c>
      <c r="I95" s="16">
        <f t="shared" si="15"/>
        <v>0.44593301435406701</v>
      </c>
      <c r="J95" s="17">
        <v>63.5</v>
      </c>
      <c r="K95" s="17">
        <v>107.1</v>
      </c>
      <c r="L95" s="17">
        <v>75.2</v>
      </c>
      <c r="M95" s="15">
        <f t="shared" si="16"/>
        <v>252.49380000000002</v>
      </c>
      <c r="N95" s="16">
        <f t="shared" si="17"/>
        <v>0.22596171443375962</v>
      </c>
      <c r="O95" s="8" t="s">
        <v>98</v>
      </c>
      <c r="P95" s="1"/>
      <c r="Q95" s="1"/>
      <c r="R95" s="1"/>
      <c r="S95" s="1"/>
      <c r="T95" s="1"/>
      <c r="U95" s="1"/>
      <c r="V95" s="1"/>
      <c r="W95" s="1"/>
      <c r="X95" s="1"/>
      <c r="Y95" s="1"/>
      <c r="Z95" s="1"/>
    </row>
    <row r="96" spans="1:26">
      <c r="A96" s="12">
        <v>45839</v>
      </c>
      <c r="B96" s="8" t="s">
        <v>69</v>
      </c>
      <c r="C96" s="13">
        <v>78422</v>
      </c>
      <c r="D96" s="14">
        <v>15.25</v>
      </c>
      <c r="E96" s="15">
        <f t="shared" si="12"/>
        <v>1195.9355</v>
      </c>
      <c r="F96" s="14">
        <v>7.96</v>
      </c>
      <c r="G96" s="15">
        <f t="shared" si="13"/>
        <v>624.23911999999996</v>
      </c>
      <c r="H96" s="15">
        <f t="shared" si="14"/>
        <v>571.69638000000009</v>
      </c>
      <c r="I96" s="16">
        <f t="shared" si="15"/>
        <v>0.47803278688524597</v>
      </c>
      <c r="J96" s="17">
        <v>100.9</v>
      </c>
      <c r="K96" s="17">
        <v>93.9</v>
      </c>
      <c r="L96" s="17">
        <v>70.599999999999994</v>
      </c>
      <c r="M96" s="15">
        <f t="shared" si="16"/>
        <v>306.29638000000011</v>
      </c>
      <c r="N96" s="16">
        <f t="shared" si="17"/>
        <v>0.25611446436701651</v>
      </c>
      <c r="O96" s="8" t="s">
        <v>98</v>
      </c>
      <c r="P96" s="1"/>
      <c r="Q96" s="1"/>
      <c r="R96" s="1"/>
      <c r="S96" s="1"/>
      <c r="T96" s="1"/>
      <c r="U96" s="1"/>
      <c r="V96" s="1"/>
      <c r="W96" s="1"/>
      <c r="X96" s="1"/>
      <c r="Y96" s="1"/>
      <c r="Z96" s="1"/>
    </row>
    <row r="97" spans="1:26">
      <c r="A97" s="12">
        <v>45839</v>
      </c>
      <c r="B97" s="8" t="s">
        <v>70</v>
      </c>
      <c r="C97" s="13">
        <v>70093</v>
      </c>
      <c r="D97" s="14">
        <v>12.69</v>
      </c>
      <c r="E97" s="15">
        <f t="shared" si="12"/>
        <v>889.48016999999993</v>
      </c>
      <c r="F97" s="14">
        <v>6.58</v>
      </c>
      <c r="G97" s="15">
        <f t="shared" si="13"/>
        <v>461.21194000000003</v>
      </c>
      <c r="H97" s="15">
        <f t="shared" si="14"/>
        <v>428.2682299999999</v>
      </c>
      <c r="I97" s="16">
        <f t="shared" si="15"/>
        <v>0.4814814814814814</v>
      </c>
      <c r="J97" s="17">
        <v>79.3</v>
      </c>
      <c r="K97" s="17">
        <v>87.4</v>
      </c>
      <c r="L97" s="17">
        <v>62.4</v>
      </c>
      <c r="M97" s="15">
        <f t="shared" si="16"/>
        <v>199.16822999999985</v>
      </c>
      <c r="N97" s="16">
        <f t="shared" si="17"/>
        <v>0.22391531224355443</v>
      </c>
      <c r="O97" s="8" t="s">
        <v>98</v>
      </c>
      <c r="P97" s="1"/>
      <c r="Q97" s="1"/>
      <c r="R97" s="1"/>
      <c r="S97" s="1"/>
      <c r="T97" s="1"/>
      <c r="U97" s="1"/>
      <c r="V97" s="1"/>
      <c r="W97" s="1"/>
      <c r="X97" s="1"/>
      <c r="Y97" s="1"/>
      <c r="Z97" s="1"/>
    </row>
    <row r="98" spans="1:26">
      <c r="A98" s="12">
        <v>45839</v>
      </c>
      <c r="B98" s="8" t="s">
        <v>71</v>
      </c>
      <c r="C98" s="13">
        <v>55722</v>
      </c>
      <c r="D98" s="14">
        <v>20.11</v>
      </c>
      <c r="E98" s="15">
        <f t="shared" si="12"/>
        <v>1120.56942</v>
      </c>
      <c r="F98" s="14">
        <v>11.21</v>
      </c>
      <c r="G98" s="15">
        <f t="shared" si="13"/>
        <v>624.64361999999994</v>
      </c>
      <c r="H98" s="15">
        <f t="shared" si="14"/>
        <v>495.92580000000009</v>
      </c>
      <c r="I98" s="16">
        <f t="shared" si="15"/>
        <v>0.44256588761810051</v>
      </c>
      <c r="J98" s="17">
        <v>81.8</v>
      </c>
      <c r="K98" s="17">
        <v>79.599999999999994</v>
      </c>
      <c r="L98" s="17">
        <v>61.4</v>
      </c>
      <c r="M98" s="15">
        <f t="shared" si="16"/>
        <v>273.12580000000014</v>
      </c>
      <c r="N98" s="16">
        <f t="shared" si="17"/>
        <v>0.24373840221340337</v>
      </c>
      <c r="O98" s="8" t="s">
        <v>98</v>
      </c>
      <c r="P98" s="1"/>
      <c r="Q98" s="1"/>
      <c r="R98" s="1"/>
      <c r="S98" s="1"/>
      <c r="T98" s="1"/>
      <c r="U98" s="1"/>
      <c r="V98" s="1"/>
      <c r="W98" s="1"/>
      <c r="X98" s="1"/>
      <c r="Y98" s="1"/>
      <c r="Z98" s="1"/>
    </row>
    <row r="99" spans="1:26">
      <c r="A99" s="12">
        <v>45870</v>
      </c>
      <c r="B99" s="8" t="s">
        <v>67</v>
      </c>
      <c r="C99" s="13">
        <v>127601</v>
      </c>
      <c r="D99" s="14">
        <v>8.61</v>
      </c>
      <c r="E99" s="15">
        <f t="shared" si="12"/>
        <v>1098.6446099999998</v>
      </c>
      <c r="F99" s="14">
        <v>4.4400000000000004</v>
      </c>
      <c r="G99" s="15">
        <f t="shared" si="13"/>
        <v>566.54844000000003</v>
      </c>
      <c r="H99" s="15">
        <f t="shared" si="14"/>
        <v>532.0961699999998</v>
      </c>
      <c r="I99" s="16">
        <f t="shared" si="15"/>
        <v>0.48432055749128911</v>
      </c>
      <c r="J99" s="17">
        <v>87.3</v>
      </c>
      <c r="K99" s="17">
        <v>121.3</v>
      </c>
      <c r="L99" s="17">
        <v>88.8</v>
      </c>
      <c r="M99" s="15">
        <f t="shared" si="16"/>
        <v>234.69616999999977</v>
      </c>
      <c r="N99" s="16">
        <f t="shared" si="17"/>
        <v>0.21362337544258267</v>
      </c>
      <c r="O99" s="8" t="s">
        <v>98</v>
      </c>
      <c r="P99" s="1"/>
      <c r="Q99" s="1"/>
      <c r="R99" s="1"/>
      <c r="S99" s="1"/>
      <c r="T99" s="1"/>
      <c r="U99" s="1"/>
      <c r="V99" s="1"/>
      <c r="W99" s="1"/>
      <c r="X99" s="1"/>
      <c r="Y99" s="1"/>
      <c r="Z99" s="1"/>
    </row>
    <row r="100" spans="1:26">
      <c r="A100" s="12">
        <v>45870</v>
      </c>
      <c r="B100" s="8" t="s">
        <v>68</v>
      </c>
      <c r="C100" s="13">
        <v>99964</v>
      </c>
      <c r="D100" s="14">
        <v>10.46</v>
      </c>
      <c r="E100" s="15">
        <f t="shared" ref="E100:E131" si="18">C100*D100/1000</f>
        <v>1045.6234400000001</v>
      </c>
      <c r="F100" s="14">
        <v>5.75</v>
      </c>
      <c r="G100" s="15">
        <f t="shared" ref="G100:G131" si="19">C100*F100/1000</f>
        <v>574.79300000000001</v>
      </c>
      <c r="H100" s="15">
        <f t="shared" ref="H100:H131" si="20">E100-G100</f>
        <v>470.83044000000007</v>
      </c>
      <c r="I100" s="16">
        <f t="shared" ref="I100:I131" si="21">IFERROR(H100/E100,0)</f>
        <v>0.45028680688336525</v>
      </c>
      <c r="J100" s="17">
        <v>66.2</v>
      </c>
      <c r="K100" s="17">
        <v>104.9</v>
      </c>
      <c r="L100" s="17">
        <v>76.400000000000006</v>
      </c>
      <c r="M100" s="15">
        <f t="shared" ref="M100:M131" si="22">H100-J100-K100-L100</f>
        <v>223.33044000000004</v>
      </c>
      <c r="N100" s="16">
        <f t="shared" ref="N100:N131" si="23">IFERROR(M100/E100,0)</f>
        <v>0.21358591578627964</v>
      </c>
      <c r="O100" s="8" t="s">
        <v>98</v>
      </c>
      <c r="P100" s="1"/>
      <c r="Q100" s="1"/>
      <c r="R100" s="1"/>
      <c r="S100" s="1"/>
      <c r="T100" s="1"/>
      <c r="U100" s="1"/>
      <c r="V100" s="1"/>
      <c r="W100" s="1"/>
      <c r="X100" s="1"/>
      <c r="Y100" s="1"/>
      <c r="Z100" s="1"/>
    </row>
    <row r="101" spans="1:26">
      <c r="A101" s="12">
        <v>45870</v>
      </c>
      <c r="B101" s="8" t="s">
        <v>69</v>
      </c>
      <c r="C101" s="13">
        <v>79423</v>
      </c>
      <c r="D101" s="14">
        <v>15.08</v>
      </c>
      <c r="E101" s="15">
        <f t="shared" si="18"/>
        <v>1197.69884</v>
      </c>
      <c r="F101" s="14">
        <v>7.96</v>
      </c>
      <c r="G101" s="15">
        <f t="shared" si="19"/>
        <v>632.20707999999991</v>
      </c>
      <c r="H101" s="15">
        <f t="shared" si="20"/>
        <v>565.49176000000011</v>
      </c>
      <c r="I101" s="16">
        <f t="shared" si="21"/>
        <v>0.47214854111405846</v>
      </c>
      <c r="J101" s="17">
        <v>95.4</v>
      </c>
      <c r="K101" s="17">
        <v>95.5</v>
      </c>
      <c r="L101" s="17">
        <v>68.8</v>
      </c>
      <c r="M101" s="15">
        <f t="shared" si="22"/>
        <v>305.79176000000012</v>
      </c>
      <c r="N101" s="16">
        <f t="shared" si="23"/>
        <v>0.25531606927163769</v>
      </c>
      <c r="O101" s="8" t="s">
        <v>98</v>
      </c>
      <c r="P101" s="1"/>
      <c r="Q101" s="1"/>
      <c r="R101" s="1"/>
      <c r="S101" s="1"/>
      <c r="T101" s="1"/>
      <c r="U101" s="1"/>
      <c r="V101" s="1"/>
      <c r="W101" s="1"/>
      <c r="X101" s="1"/>
      <c r="Y101" s="1"/>
      <c r="Z101" s="1"/>
    </row>
    <row r="102" spans="1:26">
      <c r="A102" s="12">
        <v>45870</v>
      </c>
      <c r="B102" s="8" t="s">
        <v>70</v>
      </c>
      <c r="C102" s="13">
        <v>65580</v>
      </c>
      <c r="D102" s="14">
        <v>12.63</v>
      </c>
      <c r="E102" s="15">
        <f t="shared" si="18"/>
        <v>828.27539999999999</v>
      </c>
      <c r="F102" s="14">
        <v>6.65</v>
      </c>
      <c r="G102" s="15">
        <f t="shared" si="19"/>
        <v>436.10700000000003</v>
      </c>
      <c r="H102" s="15">
        <f t="shared" si="20"/>
        <v>392.16839999999996</v>
      </c>
      <c r="I102" s="16">
        <f t="shared" si="21"/>
        <v>0.47347585114806012</v>
      </c>
      <c r="J102" s="17">
        <v>71.5</v>
      </c>
      <c r="K102" s="17">
        <v>86.1</v>
      </c>
      <c r="L102" s="17">
        <v>64.5</v>
      </c>
      <c r="M102" s="15">
        <f t="shared" si="22"/>
        <v>170.06839999999997</v>
      </c>
      <c r="N102" s="16">
        <f t="shared" si="23"/>
        <v>0.2053283243713383</v>
      </c>
      <c r="O102" s="8" t="s">
        <v>98</v>
      </c>
      <c r="P102" s="1"/>
      <c r="Q102" s="1"/>
      <c r="R102" s="1"/>
      <c r="S102" s="1"/>
      <c r="T102" s="1"/>
      <c r="U102" s="1"/>
      <c r="V102" s="1"/>
      <c r="W102" s="1"/>
      <c r="X102" s="1"/>
      <c r="Y102" s="1"/>
      <c r="Z102" s="1"/>
    </row>
    <row r="103" spans="1:26">
      <c r="A103" s="12">
        <v>45870</v>
      </c>
      <c r="B103" s="8" t="s">
        <v>71</v>
      </c>
      <c r="C103" s="13">
        <v>51753</v>
      </c>
      <c r="D103" s="14">
        <v>20.13</v>
      </c>
      <c r="E103" s="15">
        <f t="shared" si="18"/>
        <v>1041.7878899999998</v>
      </c>
      <c r="F103" s="14">
        <v>11.37</v>
      </c>
      <c r="G103" s="15">
        <f t="shared" si="19"/>
        <v>588.43160999999998</v>
      </c>
      <c r="H103" s="15">
        <f t="shared" si="20"/>
        <v>453.35627999999986</v>
      </c>
      <c r="I103" s="16">
        <f t="shared" si="21"/>
        <v>0.43517138599105804</v>
      </c>
      <c r="J103" s="17">
        <v>68.3</v>
      </c>
      <c r="K103" s="17">
        <v>77.099999999999994</v>
      </c>
      <c r="L103" s="17">
        <v>61.9</v>
      </c>
      <c r="M103" s="15">
        <f t="shared" si="22"/>
        <v>246.05627999999987</v>
      </c>
      <c r="N103" s="16">
        <f t="shared" si="23"/>
        <v>0.23618654273280132</v>
      </c>
      <c r="O103" s="8" t="s">
        <v>98</v>
      </c>
      <c r="P103" s="1"/>
      <c r="Q103" s="1"/>
      <c r="R103" s="1"/>
      <c r="S103" s="1"/>
      <c r="T103" s="1"/>
      <c r="U103" s="1"/>
      <c r="V103" s="1"/>
      <c r="W103" s="1"/>
      <c r="X103" s="1"/>
      <c r="Y103" s="1"/>
      <c r="Z103" s="1"/>
    </row>
    <row r="104" spans="1:26">
      <c r="A104" s="12">
        <v>45901</v>
      </c>
      <c r="B104" s="8" t="s">
        <v>67</v>
      </c>
      <c r="C104" s="13">
        <v>119733</v>
      </c>
      <c r="D104" s="14">
        <v>8.65</v>
      </c>
      <c r="E104" s="15">
        <f t="shared" si="18"/>
        <v>1035.6904500000001</v>
      </c>
      <c r="F104" s="14">
        <v>4.41</v>
      </c>
      <c r="G104" s="15">
        <f t="shared" si="19"/>
        <v>528.02253000000007</v>
      </c>
      <c r="H104" s="15">
        <f t="shared" si="20"/>
        <v>507.66791999999998</v>
      </c>
      <c r="I104" s="16">
        <f t="shared" si="21"/>
        <v>0.49017341040462425</v>
      </c>
      <c r="J104" s="17">
        <v>79.8</v>
      </c>
      <c r="K104" s="17">
        <v>123.9</v>
      </c>
      <c r="L104" s="17">
        <v>87.8</v>
      </c>
      <c r="M104" s="15">
        <f t="shared" si="22"/>
        <v>216.16791999999992</v>
      </c>
      <c r="N104" s="16">
        <f t="shared" si="23"/>
        <v>0.20871865720109703</v>
      </c>
      <c r="O104" s="8" t="s">
        <v>98</v>
      </c>
      <c r="P104" s="1"/>
      <c r="Q104" s="1"/>
      <c r="R104" s="1"/>
      <c r="S104" s="1"/>
      <c r="T104" s="1"/>
      <c r="U104" s="1"/>
      <c r="V104" s="1"/>
      <c r="W104" s="1"/>
      <c r="X104" s="1"/>
      <c r="Y104" s="1"/>
      <c r="Z104" s="1"/>
    </row>
    <row r="105" spans="1:26">
      <c r="A105" s="12">
        <v>45901</v>
      </c>
      <c r="B105" s="8" t="s">
        <v>68</v>
      </c>
      <c r="C105" s="13">
        <v>97680</v>
      </c>
      <c r="D105" s="14">
        <v>10.51</v>
      </c>
      <c r="E105" s="15">
        <f t="shared" si="18"/>
        <v>1026.6168</v>
      </c>
      <c r="F105" s="14">
        <v>5.7</v>
      </c>
      <c r="G105" s="15">
        <f t="shared" si="19"/>
        <v>556.77599999999995</v>
      </c>
      <c r="H105" s="15">
        <f t="shared" si="20"/>
        <v>469.84080000000006</v>
      </c>
      <c r="I105" s="16">
        <f t="shared" si="21"/>
        <v>0.45765937202664136</v>
      </c>
      <c r="J105" s="17">
        <v>59.9</v>
      </c>
      <c r="K105" s="17">
        <v>107.1</v>
      </c>
      <c r="L105" s="17">
        <v>73.5</v>
      </c>
      <c r="M105" s="15">
        <f t="shared" si="22"/>
        <v>229.34080000000006</v>
      </c>
      <c r="N105" s="16">
        <f t="shared" si="23"/>
        <v>0.22339474670587903</v>
      </c>
      <c r="O105" s="8" t="s">
        <v>98</v>
      </c>
      <c r="P105" s="1"/>
      <c r="Q105" s="1"/>
      <c r="R105" s="1"/>
      <c r="S105" s="1"/>
      <c r="T105" s="1"/>
      <c r="U105" s="1"/>
      <c r="V105" s="1"/>
      <c r="W105" s="1"/>
      <c r="X105" s="1"/>
      <c r="Y105" s="1"/>
      <c r="Z105" s="1"/>
    </row>
    <row r="106" spans="1:26">
      <c r="A106" s="12">
        <v>45901</v>
      </c>
      <c r="B106" s="8" t="s">
        <v>69</v>
      </c>
      <c r="C106" s="13">
        <v>76538</v>
      </c>
      <c r="D106" s="14">
        <v>15.18</v>
      </c>
      <c r="E106" s="15">
        <f t="shared" si="18"/>
        <v>1161.8468400000002</v>
      </c>
      <c r="F106" s="14">
        <v>7.89</v>
      </c>
      <c r="G106" s="15">
        <f t="shared" si="19"/>
        <v>603.88481999999999</v>
      </c>
      <c r="H106" s="15">
        <f t="shared" si="20"/>
        <v>557.96202000000017</v>
      </c>
      <c r="I106" s="16">
        <f t="shared" si="21"/>
        <v>0.48023715415019769</v>
      </c>
      <c r="J106" s="17">
        <v>95.3</v>
      </c>
      <c r="K106" s="17">
        <v>96.9</v>
      </c>
      <c r="L106" s="17">
        <v>67.5</v>
      </c>
      <c r="M106" s="15">
        <f t="shared" si="22"/>
        <v>298.26202000000012</v>
      </c>
      <c r="N106" s="16">
        <f t="shared" si="23"/>
        <v>0.2567137162416348</v>
      </c>
      <c r="O106" s="8" t="s">
        <v>98</v>
      </c>
      <c r="P106" s="1"/>
      <c r="Q106" s="1"/>
      <c r="R106" s="1"/>
      <c r="S106" s="1"/>
      <c r="T106" s="1"/>
      <c r="U106" s="1"/>
      <c r="V106" s="1"/>
      <c r="W106" s="1"/>
      <c r="X106" s="1"/>
      <c r="Y106" s="1"/>
      <c r="Z106" s="1"/>
    </row>
    <row r="107" spans="1:26">
      <c r="A107" s="12">
        <v>45901</v>
      </c>
      <c r="B107" s="8" t="s">
        <v>70</v>
      </c>
      <c r="C107" s="13">
        <v>65764</v>
      </c>
      <c r="D107" s="14">
        <v>12.68</v>
      </c>
      <c r="E107" s="15">
        <f t="shared" si="18"/>
        <v>833.88751999999999</v>
      </c>
      <c r="F107" s="14">
        <v>6.55</v>
      </c>
      <c r="G107" s="15">
        <f t="shared" si="19"/>
        <v>430.75420000000003</v>
      </c>
      <c r="H107" s="15">
        <f t="shared" si="20"/>
        <v>403.13331999999997</v>
      </c>
      <c r="I107" s="16">
        <f t="shared" si="21"/>
        <v>0.4834384858044164</v>
      </c>
      <c r="J107" s="17">
        <v>71.3</v>
      </c>
      <c r="K107" s="17">
        <v>86</v>
      </c>
      <c r="L107" s="17">
        <v>61.5</v>
      </c>
      <c r="M107" s="15">
        <f t="shared" si="22"/>
        <v>184.33331999999996</v>
      </c>
      <c r="N107" s="16">
        <f t="shared" si="23"/>
        <v>0.22105297846404987</v>
      </c>
      <c r="O107" s="8" t="s">
        <v>98</v>
      </c>
      <c r="P107" s="1"/>
      <c r="Q107" s="1"/>
      <c r="R107" s="1"/>
      <c r="S107" s="1"/>
      <c r="T107" s="1"/>
      <c r="U107" s="1"/>
      <c r="V107" s="1"/>
      <c r="W107" s="1"/>
      <c r="X107" s="1"/>
      <c r="Y107" s="1"/>
      <c r="Z107" s="1"/>
    </row>
    <row r="108" spans="1:26">
      <c r="A108" s="12">
        <v>45901</v>
      </c>
      <c r="B108" s="8" t="s">
        <v>71</v>
      </c>
      <c r="C108" s="13">
        <v>51441</v>
      </c>
      <c r="D108" s="14">
        <v>20.09</v>
      </c>
      <c r="E108" s="15">
        <f t="shared" si="18"/>
        <v>1033.4496899999999</v>
      </c>
      <c r="F108" s="14">
        <v>11.23</v>
      </c>
      <c r="G108" s="15">
        <f t="shared" si="19"/>
        <v>577.68243000000007</v>
      </c>
      <c r="H108" s="15">
        <f t="shared" si="20"/>
        <v>455.76725999999985</v>
      </c>
      <c r="I108" s="16">
        <f t="shared" si="21"/>
        <v>0.44101543056246878</v>
      </c>
      <c r="J108" s="17">
        <v>67.099999999999994</v>
      </c>
      <c r="K108" s="17">
        <v>79</v>
      </c>
      <c r="L108" s="17">
        <v>61</v>
      </c>
      <c r="M108" s="15">
        <f t="shared" si="22"/>
        <v>248.66725999999983</v>
      </c>
      <c r="N108" s="16">
        <f t="shared" si="23"/>
        <v>0.24061864104869957</v>
      </c>
      <c r="O108" s="8" t="s">
        <v>98</v>
      </c>
      <c r="P108" s="1"/>
      <c r="Q108" s="1"/>
      <c r="R108" s="1"/>
      <c r="S108" s="1"/>
      <c r="T108" s="1"/>
      <c r="U108" s="1"/>
      <c r="V108" s="1"/>
      <c r="W108" s="1"/>
      <c r="X108" s="1"/>
      <c r="Y108" s="1"/>
      <c r="Z108" s="1"/>
    </row>
    <row r="109" spans="1:26">
      <c r="A109" s="12">
        <v>45931</v>
      </c>
      <c r="B109" s="8" t="s">
        <v>67</v>
      </c>
      <c r="C109" s="13">
        <v>132521</v>
      </c>
      <c r="D109" s="14">
        <v>8.6199999999999992</v>
      </c>
      <c r="E109" s="15">
        <f t="shared" si="18"/>
        <v>1142.3310199999999</v>
      </c>
      <c r="F109" s="14">
        <v>4.3899999999999997</v>
      </c>
      <c r="G109" s="15">
        <f t="shared" si="19"/>
        <v>581.76718999999991</v>
      </c>
      <c r="H109" s="15">
        <f t="shared" si="20"/>
        <v>560.56382999999994</v>
      </c>
      <c r="I109" s="16">
        <f t="shared" si="21"/>
        <v>0.49071925754060325</v>
      </c>
      <c r="J109" s="17">
        <v>79.099999999999994</v>
      </c>
      <c r="K109" s="17">
        <v>120.8</v>
      </c>
      <c r="L109" s="17">
        <v>85.3</v>
      </c>
      <c r="M109" s="15">
        <f t="shared" si="22"/>
        <v>275.36382999999989</v>
      </c>
      <c r="N109" s="16">
        <f t="shared" si="23"/>
        <v>0.2410543224152312</v>
      </c>
      <c r="O109" s="8" t="s">
        <v>98</v>
      </c>
      <c r="P109" s="1"/>
      <c r="Q109" s="1"/>
      <c r="R109" s="1"/>
      <c r="S109" s="1"/>
      <c r="T109" s="1"/>
      <c r="U109" s="1"/>
      <c r="V109" s="1"/>
      <c r="W109" s="1"/>
      <c r="X109" s="1"/>
      <c r="Y109" s="1"/>
      <c r="Z109" s="1"/>
    </row>
    <row r="110" spans="1:26">
      <c r="A110" s="12">
        <v>45931</v>
      </c>
      <c r="B110" s="8" t="s">
        <v>68</v>
      </c>
      <c r="C110" s="13">
        <v>99372</v>
      </c>
      <c r="D110" s="14">
        <v>10.38</v>
      </c>
      <c r="E110" s="15">
        <f t="shared" si="18"/>
        <v>1031.48136</v>
      </c>
      <c r="F110" s="14">
        <v>5.77</v>
      </c>
      <c r="G110" s="15">
        <f t="shared" si="19"/>
        <v>573.37643999999989</v>
      </c>
      <c r="H110" s="15">
        <f t="shared" si="20"/>
        <v>458.10492000000011</v>
      </c>
      <c r="I110" s="16">
        <f t="shared" si="21"/>
        <v>0.4441233140655107</v>
      </c>
      <c r="J110" s="17">
        <v>60.7</v>
      </c>
      <c r="K110" s="17">
        <v>108.6</v>
      </c>
      <c r="L110" s="17">
        <v>74.8</v>
      </c>
      <c r="M110" s="15">
        <f t="shared" si="22"/>
        <v>214.00492000000014</v>
      </c>
      <c r="N110" s="16">
        <f t="shared" si="23"/>
        <v>0.20747337596095788</v>
      </c>
      <c r="O110" s="8" t="s">
        <v>98</v>
      </c>
      <c r="P110" s="1"/>
      <c r="Q110" s="1"/>
      <c r="R110" s="1"/>
      <c r="S110" s="1"/>
      <c r="T110" s="1"/>
      <c r="U110" s="1"/>
      <c r="V110" s="1"/>
      <c r="W110" s="1"/>
      <c r="X110" s="1"/>
      <c r="Y110" s="1"/>
      <c r="Z110" s="1"/>
    </row>
    <row r="111" spans="1:26">
      <c r="A111" s="12">
        <v>45931</v>
      </c>
      <c r="B111" s="8" t="s">
        <v>69</v>
      </c>
      <c r="C111" s="13">
        <v>80242</v>
      </c>
      <c r="D111" s="14">
        <v>15.09</v>
      </c>
      <c r="E111" s="15">
        <f t="shared" si="18"/>
        <v>1210.85178</v>
      </c>
      <c r="F111" s="14">
        <v>7.96</v>
      </c>
      <c r="G111" s="15">
        <f t="shared" si="19"/>
        <v>638.72631999999999</v>
      </c>
      <c r="H111" s="15">
        <f t="shared" si="20"/>
        <v>572.12545999999998</v>
      </c>
      <c r="I111" s="16">
        <f t="shared" si="21"/>
        <v>0.47249834327369117</v>
      </c>
      <c r="J111" s="17">
        <v>100.4</v>
      </c>
      <c r="K111" s="17">
        <v>97.5</v>
      </c>
      <c r="L111" s="17">
        <v>68.7</v>
      </c>
      <c r="M111" s="15">
        <f t="shared" si="22"/>
        <v>305.52546000000001</v>
      </c>
      <c r="N111" s="16">
        <f t="shared" si="23"/>
        <v>0.25232275745591259</v>
      </c>
      <c r="O111" s="8" t="s">
        <v>98</v>
      </c>
      <c r="P111" s="1"/>
      <c r="Q111" s="1"/>
      <c r="R111" s="1"/>
      <c r="S111" s="1"/>
      <c r="T111" s="1"/>
      <c r="U111" s="1"/>
      <c r="V111" s="1"/>
      <c r="W111" s="1"/>
      <c r="X111" s="1"/>
      <c r="Y111" s="1"/>
      <c r="Z111" s="1"/>
    </row>
    <row r="112" spans="1:26">
      <c r="A112" s="12">
        <v>45931</v>
      </c>
      <c r="B112" s="8" t="s">
        <v>70</v>
      </c>
      <c r="C112" s="13">
        <v>67292</v>
      </c>
      <c r="D112" s="14">
        <v>12.71</v>
      </c>
      <c r="E112" s="15">
        <f t="shared" si="18"/>
        <v>855.28132000000005</v>
      </c>
      <c r="F112" s="14">
        <v>6.54</v>
      </c>
      <c r="G112" s="15">
        <f t="shared" si="19"/>
        <v>440.08967999999999</v>
      </c>
      <c r="H112" s="15">
        <f t="shared" si="20"/>
        <v>415.19164000000006</v>
      </c>
      <c r="I112" s="16">
        <f t="shared" si="21"/>
        <v>0.48544453186467351</v>
      </c>
      <c r="J112" s="17">
        <v>72.2</v>
      </c>
      <c r="K112" s="17">
        <v>89.3</v>
      </c>
      <c r="L112" s="17">
        <v>63</v>
      </c>
      <c r="M112" s="15">
        <f t="shared" si="22"/>
        <v>190.69164000000006</v>
      </c>
      <c r="N112" s="16">
        <f t="shared" si="23"/>
        <v>0.22295779825987555</v>
      </c>
      <c r="O112" s="8" t="s">
        <v>98</v>
      </c>
      <c r="P112" s="1"/>
      <c r="Q112" s="1"/>
      <c r="R112" s="1"/>
      <c r="S112" s="1"/>
      <c r="T112" s="1"/>
      <c r="U112" s="1"/>
      <c r="V112" s="1"/>
      <c r="W112" s="1"/>
      <c r="X112" s="1"/>
      <c r="Y112" s="1"/>
      <c r="Z112" s="1"/>
    </row>
    <row r="113" spans="1:26">
      <c r="A113" s="12">
        <v>45931</v>
      </c>
      <c r="B113" s="8" t="s">
        <v>71</v>
      </c>
      <c r="C113" s="13">
        <v>54568</v>
      </c>
      <c r="D113" s="14">
        <v>19.98</v>
      </c>
      <c r="E113" s="15">
        <f t="shared" si="18"/>
        <v>1090.2686400000002</v>
      </c>
      <c r="F113" s="14">
        <v>11.2</v>
      </c>
      <c r="G113" s="15">
        <f t="shared" si="19"/>
        <v>611.16160000000002</v>
      </c>
      <c r="H113" s="15">
        <f t="shared" si="20"/>
        <v>479.10704000000021</v>
      </c>
      <c r="I113" s="16">
        <f t="shared" si="21"/>
        <v>0.43943943943943953</v>
      </c>
      <c r="J113" s="17">
        <v>75.7</v>
      </c>
      <c r="K113" s="17">
        <v>77.3</v>
      </c>
      <c r="L113" s="17">
        <v>58.6</v>
      </c>
      <c r="M113" s="15">
        <f t="shared" si="22"/>
        <v>267.50704000000019</v>
      </c>
      <c r="N113" s="16">
        <f t="shared" si="23"/>
        <v>0.24535883192971608</v>
      </c>
      <c r="O113" s="8" t="s">
        <v>98</v>
      </c>
      <c r="P113" s="1"/>
      <c r="Q113" s="1"/>
      <c r="R113" s="1"/>
      <c r="S113" s="1"/>
      <c r="T113" s="1"/>
      <c r="U113" s="1"/>
      <c r="V113" s="1"/>
      <c r="W113" s="1"/>
      <c r="X113" s="1"/>
      <c r="Y113" s="1"/>
      <c r="Z113" s="1"/>
    </row>
    <row r="114" spans="1:26">
      <c r="A114" s="12">
        <v>45962</v>
      </c>
      <c r="B114" s="8" t="s">
        <v>67</v>
      </c>
      <c r="C114" s="13">
        <v>138715</v>
      </c>
      <c r="D114" s="14">
        <v>8.59</v>
      </c>
      <c r="E114" s="15">
        <f t="shared" si="18"/>
        <v>1191.56185</v>
      </c>
      <c r="F114" s="14">
        <v>4.46</v>
      </c>
      <c r="G114" s="15">
        <f t="shared" si="19"/>
        <v>618.66890000000001</v>
      </c>
      <c r="H114" s="15">
        <f t="shared" si="20"/>
        <v>572.89295000000004</v>
      </c>
      <c r="I114" s="16">
        <f t="shared" si="21"/>
        <v>0.48079161816065191</v>
      </c>
      <c r="J114" s="17">
        <v>82.8</v>
      </c>
      <c r="K114" s="17">
        <v>124.3</v>
      </c>
      <c r="L114" s="17">
        <v>87.6</v>
      </c>
      <c r="M114" s="15">
        <f t="shared" si="22"/>
        <v>278.19295</v>
      </c>
      <c r="N114" s="16">
        <f t="shared" si="23"/>
        <v>0.23346916486122812</v>
      </c>
      <c r="O114" s="8" t="s">
        <v>98</v>
      </c>
      <c r="P114" s="1"/>
      <c r="Q114" s="1"/>
      <c r="R114" s="1"/>
      <c r="S114" s="1"/>
      <c r="T114" s="1"/>
      <c r="U114" s="1"/>
      <c r="V114" s="1"/>
      <c r="W114" s="1"/>
      <c r="X114" s="1"/>
      <c r="Y114" s="1"/>
      <c r="Z114" s="1"/>
    </row>
    <row r="115" spans="1:26">
      <c r="A115" s="12">
        <v>45962</v>
      </c>
      <c r="B115" s="8" t="s">
        <v>68</v>
      </c>
      <c r="C115" s="13">
        <v>111700</v>
      </c>
      <c r="D115" s="14">
        <v>10.42</v>
      </c>
      <c r="E115" s="15">
        <f t="shared" si="18"/>
        <v>1163.914</v>
      </c>
      <c r="F115" s="14">
        <v>5.76</v>
      </c>
      <c r="G115" s="15">
        <f t="shared" si="19"/>
        <v>643.39200000000005</v>
      </c>
      <c r="H115" s="15">
        <f t="shared" si="20"/>
        <v>520.52199999999993</v>
      </c>
      <c r="I115" s="16">
        <f t="shared" si="21"/>
        <v>0.44721689059500952</v>
      </c>
      <c r="J115" s="17">
        <v>70.400000000000006</v>
      </c>
      <c r="K115" s="17">
        <v>105.8</v>
      </c>
      <c r="L115" s="17">
        <v>76.400000000000006</v>
      </c>
      <c r="M115" s="15">
        <f t="shared" si="22"/>
        <v>267.92199999999991</v>
      </c>
      <c r="N115" s="16">
        <f t="shared" si="23"/>
        <v>0.23019054672424244</v>
      </c>
      <c r="O115" s="8" t="s">
        <v>98</v>
      </c>
      <c r="P115" s="1"/>
      <c r="Q115" s="1"/>
      <c r="R115" s="1"/>
      <c r="S115" s="1"/>
      <c r="T115" s="1"/>
      <c r="U115" s="1"/>
      <c r="V115" s="1"/>
      <c r="W115" s="1"/>
      <c r="X115" s="1"/>
      <c r="Y115" s="1"/>
      <c r="Z115" s="1"/>
    </row>
    <row r="116" spans="1:26">
      <c r="A116" s="12">
        <v>45962</v>
      </c>
      <c r="B116" s="8" t="s">
        <v>69</v>
      </c>
      <c r="C116" s="13">
        <v>88160</v>
      </c>
      <c r="D116" s="14">
        <v>15.14</v>
      </c>
      <c r="E116" s="15">
        <f t="shared" si="18"/>
        <v>1334.7424000000001</v>
      </c>
      <c r="F116" s="14">
        <v>7.91</v>
      </c>
      <c r="G116" s="15">
        <f t="shared" si="19"/>
        <v>697.34559999999999</v>
      </c>
      <c r="H116" s="15">
        <f t="shared" si="20"/>
        <v>637.3968000000001</v>
      </c>
      <c r="I116" s="16">
        <f t="shared" si="21"/>
        <v>0.47754293262879793</v>
      </c>
      <c r="J116" s="17">
        <v>112.7</v>
      </c>
      <c r="K116" s="17">
        <v>96.8</v>
      </c>
      <c r="L116" s="17">
        <v>70.5</v>
      </c>
      <c r="M116" s="15">
        <f t="shared" si="22"/>
        <v>357.39680000000004</v>
      </c>
      <c r="N116" s="16">
        <f t="shared" si="23"/>
        <v>0.26776462634288084</v>
      </c>
      <c r="O116" s="8" t="s">
        <v>98</v>
      </c>
      <c r="P116" s="1"/>
      <c r="Q116" s="1"/>
      <c r="R116" s="1"/>
      <c r="S116" s="1"/>
      <c r="T116" s="1"/>
      <c r="U116" s="1"/>
      <c r="V116" s="1"/>
      <c r="W116" s="1"/>
      <c r="X116" s="1"/>
      <c r="Y116" s="1"/>
      <c r="Z116" s="1"/>
    </row>
    <row r="117" spans="1:26">
      <c r="A117" s="12">
        <v>45962</v>
      </c>
      <c r="B117" s="8" t="s">
        <v>70</v>
      </c>
      <c r="C117" s="13">
        <v>71139</v>
      </c>
      <c r="D117" s="14">
        <v>12.66</v>
      </c>
      <c r="E117" s="15">
        <f t="shared" si="18"/>
        <v>900.61973999999998</v>
      </c>
      <c r="F117" s="14">
        <v>6.62</v>
      </c>
      <c r="G117" s="15">
        <f t="shared" si="19"/>
        <v>470.94018</v>
      </c>
      <c r="H117" s="15">
        <f t="shared" si="20"/>
        <v>429.67955999999998</v>
      </c>
      <c r="I117" s="16">
        <f t="shared" si="21"/>
        <v>0.47709320695102686</v>
      </c>
      <c r="J117" s="17">
        <v>77.5</v>
      </c>
      <c r="K117" s="17">
        <v>85.9</v>
      </c>
      <c r="L117" s="17">
        <v>61.3</v>
      </c>
      <c r="M117" s="15">
        <f t="shared" si="22"/>
        <v>204.97955999999994</v>
      </c>
      <c r="N117" s="16">
        <f t="shared" si="23"/>
        <v>0.22759834244805688</v>
      </c>
      <c r="O117" s="8" t="s">
        <v>98</v>
      </c>
      <c r="P117" s="1"/>
      <c r="Q117" s="1"/>
      <c r="R117" s="1"/>
      <c r="S117" s="1"/>
      <c r="T117" s="1"/>
      <c r="U117" s="1"/>
      <c r="V117" s="1"/>
      <c r="W117" s="1"/>
      <c r="X117" s="1"/>
      <c r="Y117" s="1"/>
      <c r="Z117" s="1"/>
    </row>
    <row r="118" spans="1:26">
      <c r="A118" s="12">
        <v>45962</v>
      </c>
      <c r="B118" s="8" t="s">
        <v>71</v>
      </c>
      <c r="C118" s="13">
        <v>55469</v>
      </c>
      <c r="D118" s="14">
        <v>19.989999999999998</v>
      </c>
      <c r="E118" s="15">
        <f t="shared" si="18"/>
        <v>1108.8253099999997</v>
      </c>
      <c r="F118" s="14">
        <v>11.34</v>
      </c>
      <c r="G118" s="15">
        <f t="shared" si="19"/>
        <v>629.01846</v>
      </c>
      <c r="H118" s="15">
        <f t="shared" si="20"/>
        <v>479.80684999999971</v>
      </c>
      <c r="I118" s="16">
        <f t="shared" si="21"/>
        <v>0.43271635817908938</v>
      </c>
      <c r="J118" s="17">
        <v>72.900000000000006</v>
      </c>
      <c r="K118" s="17">
        <v>78</v>
      </c>
      <c r="L118" s="17">
        <v>60.9</v>
      </c>
      <c r="M118" s="15">
        <f t="shared" si="22"/>
        <v>268.00684999999976</v>
      </c>
      <c r="N118" s="16">
        <f t="shared" si="23"/>
        <v>0.24170340231501375</v>
      </c>
      <c r="O118" s="8" t="s">
        <v>98</v>
      </c>
      <c r="P118" s="1"/>
      <c r="Q118" s="1"/>
      <c r="R118" s="1"/>
      <c r="S118" s="1"/>
      <c r="T118" s="1"/>
      <c r="U118" s="1"/>
      <c r="V118" s="1"/>
      <c r="W118" s="1"/>
      <c r="X118" s="1"/>
      <c r="Y118" s="1"/>
      <c r="Z118" s="1"/>
    </row>
    <row r="119" spans="1:26">
      <c r="A119" s="12">
        <v>45992</v>
      </c>
      <c r="B119" s="8" t="s">
        <v>67</v>
      </c>
      <c r="C119" s="13">
        <v>147573</v>
      </c>
      <c r="D119" s="14">
        <v>8.61</v>
      </c>
      <c r="E119" s="15">
        <f t="shared" si="18"/>
        <v>1270.6035300000001</v>
      </c>
      <c r="F119" s="14">
        <v>4.43</v>
      </c>
      <c r="G119" s="15">
        <f t="shared" si="19"/>
        <v>653.74838999999997</v>
      </c>
      <c r="H119" s="15">
        <f t="shared" si="20"/>
        <v>616.85514000000012</v>
      </c>
      <c r="I119" s="16">
        <f t="shared" si="21"/>
        <v>0.48548199767711969</v>
      </c>
      <c r="J119" s="17">
        <v>100.4</v>
      </c>
      <c r="K119" s="17">
        <v>124.5</v>
      </c>
      <c r="L119" s="17">
        <v>87.7</v>
      </c>
      <c r="M119" s="15">
        <f t="shared" si="22"/>
        <v>304.25514000000015</v>
      </c>
      <c r="N119" s="16">
        <f t="shared" si="23"/>
        <v>0.2394571814230676</v>
      </c>
      <c r="O119" s="8" t="s">
        <v>98</v>
      </c>
      <c r="P119" s="1"/>
      <c r="Q119" s="1"/>
      <c r="R119" s="1"/>
      <c r="S119" s="1"/>
      <c r="T119" s="1"/>
      <c r="U119" s="1"/>
      <c r="V119" s="1"/>
      <c r="W119" s="1"/>
      <c r="X119" s="1"/>
      <c r="Y119" s="1"/>
      <c r="Z119" s="1"/>
    </row>
    <row r="120" spans="1:26">
      <c r="A120" s="12">
        <v>45992</v>
      </c>
      <c r="B120" s="8" t="s">
        <v>68</v>
      </c>
      <c r="C120" s="13">
        <v>116638</v>
      </c>
      <c r="D120" s="14">
        <v>10.54</v>
      </c>
      <c r="E120" s="15">
        <f t="shared" si="18"/>
        <v>1229.3645199999999</v>
      </c>
      <c r="F120" s="14">
        <v>5.75</v>
      </c>
      <c r="G120" s="15">
        <f t="shared" si="19"/>
        <v>670.66849999999999</v>
      </c>
      <c r="H120" s="15">
        <f t="shared" si="20"/>
        <v>558.69601999999986</v>
      </c>
      <c r="I120" s="16">
        <f t="shared" si="21"/>
        <v>0.45445920303605308</v>
      </c>
      <c r="J120" s="17">
        <v>75.5</v>
      </c>
      <c r="K120" s="17">
        <v>106.9</v>
      </c>
      <c r="L120" s="17">
        <v>76.7</v>
      </c>
      <c r="M120" s="15">
        <f t="shared" si="22"/>
        <v>299.5960199999999</v>
      </c>
      <c r="N120" s="16">
        <f t="shared" si="23"/>
        <v>0.2436999076563556</v>
      </c>
      <c r="O120" s="8" t="s">
        <v>98</v>
      </c>
      <c r="P120" s="1"/>
      <c r="Q120" s="1"/>
      <c r="R120" s="1"/>
      <c r="S120" s="1"/>
      <c r="T120" s="1"/>
      <c r="U120" s="1"/>
      <c r="V120" s="1"/>
      <c r="W120" s="1"/>
      <c r="X120" s="1"/>
      <c r="Y120" s="1"/>
      <c r="Z120" s="1"/>
    </row>
    <row r="121" spans="1:26">
      <c r="A121" s="12">
        <v>45992</v>
      </c>
      <c r="B121" s="8" t="s">
        <v>69</v>
      </c>
      <c r="C121" s="13">
        <v>91856</v>
      </c>
      <c r="D121" s="14">
        <v>15.08</v>
      </c>
      <c r="E121" s="15">
        <f t="shared" si="18"/>
        <v>1385.18848</v>
      </c>
      <c r="F121" s="14">
        <v>7.83</v>
      </c>
      <c r="G121" s="15">
        <f t="shared" si="19"/>
        <v>719.23248000000001</v>
      </c>
      <c r="H121" s="15">
        <f t="shared" si="20"/>
        <v>665.95600000000002</v>
      </c>
      <c r="I121" s="16">
        <f t="shared" si="21"/>
        <v>0.48076923076923078</v>
      </c>
      <c r="J121" s="17">
        <v>111.4</v>
      </c>
      <c r="K121" s="17">
        <v>96.9</v>
      </c>
      <c r="L121" s="17">
        <v>68.599999999999994</v>
      </c>
      <c r="M121" s="15">
        <f t="shared" si="22"/>
        <v>389.05600000000004</v>
      </c>
      <c r="N121" s="16">
        <f t="shared" si="23"/>
        <v>0.28086863673599138</v>
      </c>
      <c r="O121" s="8" t="s">
        <v>98</v>
      </c>
      <c r="P121" s="1"/>
      <c r="Q121" s="1"/>
      <c r="R121" s="1"/>
      <c r="S121" s="1"/>
      <c r="T121" s="1"/>
      <c r="U121" s="1"/>
      <c r="V121" s="1"/>
      <c r="W121" s="1"/>
      <c r="X121" s="1"/>
      <c r="Y121" s="1"/>
      <c r="Z121" s="1"/>
    </row>
    <row r="122" spans="1:26">
      <c r="A122" s="12">
        <v>45992</v>
      </c>
      <c r="B122" s="8" t="s">
        <v>70</v>
      </c>
      <c r="C122" s="13">
        <v>75383</v>
      </c>
      <c r="D122" s="14">
        <v>12.65</v>
      </c>
      <c r="E122" s="15">
        <f t="shared" si="18"/>
        <v>953.59495000000004</v>
      </c>
      <c r="F122" s="14">
        <v>6.62</v>
      </c>
      <c r="G122" s="15">
        <f t="shared" si="19"/>
        <v>499.03546</v>
      </c>
      <c r="H122" s="15">
        <f t="shared" si="20"/>
        <v>454.55949000000004</v>
      </c>
      <c r="I122" s="16">
        <f t="shared" si="21"/>
        <v>0.47667984189723323</v>
      </c>
      <c r="J122" s="17">
        <v>89.5</v>
      </c>
      <c r="K122" s="17">
        <v>89.3</v>
      </c>
      <c r="L122" s="17">
        <v>63.1</v>
      </c>
      <c r="M122" s="15">
        <f t="shared" si="22"/>
        <v>212.65949000000003</v>
      </c>
      <c r="N122" s="16">
        <f t="shared" si="23"/>
        <v>0.22300819650942993</v>
      </c>
      <c r="O122" s="8" t="s">
        <v>98</v>
      </c>
      <c r="P122" s="1"/>
      <c r="Q122" s="1"/>
      <c r="R122" s="1"/>
      <c r="S122" s="1"/>
      <c r="T122" s="1"/>
      <c r="U122" s="1"/>
      <c r="V122" s="1"/>
      <c r="W122" s="1"/>
      <c r="X122" s="1"/>
      <c r="Y122" s="1"/>
      <c r="Z122" s="1"/>
    </row>
    <row r="123" spans="1:26">
      <c r="A123" s="12">
        <v>45992</v>
      </c>
      <c r="B123" s="8" t="s">
        <v>71</v>
      </c>
      <c r="C123" s="13">
        <v>60522</v>
      </c>
      <c r="D123" s="14">
        <v>19.87</v>
      </c>
      <c r="E123" s="15">
        <f t="shared" si="18"/>
        <v>1202.5721400000002</v>
      </c>
      <c r="F123" s="14">
        <v>11.19</v>
      </c>
      <c r="G123" s="15">
        <f t="shared" si="19"/>
        <v>677.24117999999999</v>
      </c>
      <c r="H123" s="15">
        <f t="shared" si="20"/>
        <v>525.33096000000023</v>
      </c>
      <c r="I123" s="16">
        <f t="shared" si="21"/>
        <v>0.43683945646703587</v>
      </c>
      <c r="J123" s="17">
        <v>80.900000000000006</v>
      </c>
      <c r="K123" s="17">
        <v>78.3</v>
      </c>
      <c r="L123" s="17">
        <v>59</v>
      </c>
      <c r="M123" s="15">
        <f t="shared" si="22"/>
        <v>307.13096000000024</v>
      </c>
      <c r="N123" s="16">
        <f t="shared" si="23"/>
        <v>0.25539504016781911</v>
      </c>
      <c r="O123" s="8" t="s">
        <v>98</v>
      </c>
      <c r="P123" s="1"/>
      <c r="Q123" s="1"/>
      <c r="R123" s="1"/>
      <c r="S123" s="1"/>
      <c r="T123" s="1"/>
      <c r="U123" s="1"/>
      <c r="V123" s="1"/>
      <c r="W123" s="1"/>
      <c r="X123" s="1"/>
      <c r="Y123" s="1"/>
      <c r="Z123" s="1"/>
    </row>
    <row r="124" spans="1:26">
      <c r="A124" s="12">
        <v>46023</v>
      </c>
      <c r="B124" s="8" t="s">
        <v>67</v>
      </c>
      <c r="C124" s="13">
        <v>116195</v>
      </c>
      <c r="D124" s="14">
        <v>8.9</v>
      </c>
      <c r="E124" s="15">
        <f t="shared" si="18"/>
        <v>1034.1355000000001</v>
      </c>
      <c r="F124" s="14">
        <v>4.6100000000000003</v>
      </c>
      <c r="G124" s="15">
        <f t="shared" si="19"/>
        <v>535.65895000000012</v>
      </c>
      <c r="H124" s="15">
        <f t="shared" si="20"/>
        <v>498.47654999999997</v>
      </c>
      <c r="I124" s="16">
        <f t="shared" si="21"/>
        <v>0.48202247191011227</v>
      </c>
      <c r="J124" s="17">
        <v>77.5</v>
      </c>
      <c r="K124" s="17">
        <v>130.30000000000001</v>
      </c>
      <c r="L124" s="17">
        <v>93</v>
      </c>
      <c r="M124" s="15">
        <f t="shared" si="22"/>
        <v>197.67654999999996</v>
      </c>
      <c r="N124" s="16">
        <f t="shared" si="23"/>
        <v>0.19115149803869991</v>
      </c>
      <c r="O124" s="8" t="s">
        <v>98</v>
      </c>
      <c r="P124" s="1"/>
      <c r="Q124" s="1"/>
      <c r="R124" s="1"/>
      <c r="S124" s="1"/>
      <c r="T124" s="1"/>
      <c r="U124" s="1"/>
      <c r="V124" s="1"/>
      <c r="W124" s="1"/>
      <c r="X124" s="1"/>
      <c r="Y124" s="1"/>
      <c r="Z124" s="1"/>
    </row>
    <row r="125" spans="1:26">
      <c r="A125" s="12">
        <v>46023</v>
      </c>
      <c r="B125" s="8" t="s">
        <v>68</v>
      </c>
      <c r="C125" s="13">
        <v>96461</v>
      </c>
      <c r="D125" s="14">
        <v>10.69</v>
      </c>
      <c r="E125" s="15">
        <f t="shared" si="18"/>
        <v>1031.1680899999999</v>
      </c>
      <c r="F125" s="14">
        <v>5.91</v>
      </c>
      <c r="G125" s="15">
        <f t="shared" si="19"/>
        <v>570.08451000000002</v>
      </c>
      <c r="H125" s="15">
        <f t="shared" si="20"/>
        <v>461.08357999999987</v>
      </c>
      <c r="I125" s="16">
        <f t="shared" si="21"/>
        <v>0.44714686623012151</v>
      </c>
      <c r="J125" s="17">
        <v>65.5</v>
      </c>
      <c r="K125" s="17">
        <v>110</v>
      </c>
      <c r="L125" s="17">
        <v>77.900000000000006</v>
      </c>
      <c r="M125" s="15">
        <f t="shared" si="22"/>
        <v>207.68357999999986</v>
      </c>
      <c r="N125" s="16">
        <f t="shared" si="23"/>
        <v>0.20140613544393124</v>
      </c>
      <c r="O125" s="8" t="s">
        <v>98</v>
      </c>
      <c r="P125" s="1"/>
      <c r="Q125" s="1"/>
      <c r="R125" s="1"/>
      <c r="S125" s="1"/>
      <c r="T125" s="1"/>
      <c r="U125" s="1"/>
      <c r="V125" s="1"/>
      <c r="W125" s="1"/>
      <c r="X125" s="1"/>
      <c r="Y125" s="1"/>
      <c r="Z125" s="1"/>
    </row>
    <row r="126" spans="1:26">
      <c r="A126" s="12">
        <v>46023</v>
      </c>
      <c r="B126" s="8" t="s">
        <v>69</v>
      </c>
      <c r="C126" s="13">
        <v>76766</v>
      </c>
      <c r="D126" s="14">
        <v>15.49</v>
      </c>
      <c r="E126" s="15">
        <f t="shared" si="18"/>
        <v>1189.1053400000001</v>
      </c>
      <c r="F126" s="14">
        <v>8.19</v>
      </c>
      <c r="G126" s="15">
        <f t="shared" si="19"/>
        <v>628.71353999999997</v>
      </c>
      <c r="H126" s="15">
        <f t="shared" si="20"/>
        <v>560.3918000000001</v>
      </c>
      <c r="I126" s="16">
        <f t="shared" si="21"/>
        <v>0.47127178825048427</v>
      </c>
      <c r="J126" s="17">
        <v>100.8</v>
      </c>
      <c r="K126" s="17">
        <v>99.3</v>
      </c>
      <c r="L126" s="17">
        <v>68.599999999999994</v>
      </c>
      <c r="M126" s="15">
        <f t="shared" si="22"/>
        <v>291.69180000000006</v>
      </c>
      <c r="N126" s="16">
        <f t="shared" si="23"/>
        <v>0.24530358260774443</v>
      </c>
      <c r="O126" s="8" t="s">
        <v>98</v>
      </c>
      <c r="P126" s="1"/>
      <c r="Q126" s="1"/>
      <c r="R126" s="1"/>
      <c r="S126" s="1"/>
      <c r="T126" s="1"/>
      <c r="U126" s="1"/>
      <c r="V126" s="1"/>
      <c r="W126" s="1"/>
      <c r="X126" s="1"/>
      <c r="Y126" s="1"/>
      <c r="Z126" s="1"/>
    </row>
    <row r="127" spans="1:26">
      <c r="A127" s="12">
        <v>46023</v>
      </c>
      <c r="B127" s="8" t="s">
        <v>70</v>
      </c>
      <c r="C127" s="13">
        <v>63198</v>
      </c>
      <c r="D127" s="14">
        <v>13.01</v>
      </c>
      <c r="E127" s="15">
        <f t="shared" si="18"/>
        <v>822.20597999999995</v>
      </c>
      <c r="F127" s="14">
        <v>6.86</v>
      </c>
      <c r="G127" s="15">
        <f t="shared" si="19"/>
        <v>433.53828000000004</v>
      </c>
      <c r="H127" s="15">
        <f t="shared" si="20"/>
        <v>388.66769999999991</v>
      </c>
      <c r="I127" s="16">
        <f t="shared" si="21"/>
        <v>0.47271329746348956</v>
      </c>
      <c r="J127" s="17">
        <v>79.099999999999994</v>
      </c>
      <c r="K127" s="17">
        <v>89.9</v>
      </c>
      <c r="L127" s="17">
        <v>66.2</v>
      </c>
      <c r="M127" s="15">
        <f t="shared" si="22"/>
        <v>153.46769999999992</v>
      </c>
      <c r="N127" s="16">
        <f t="shared" si="23"/>
        <v>0.18665359257056235</v>
      </c>
      <c r="O127" s="8" t="s">
        <v>98</v>
      </c>
      <c r="P127" s="1"/>
      <c r="Q127" s="1"/>
      <c r="R127" s="1"/>
      <c r="S127" s="1"/>
      <c r="T127" s="1"/>
      <c r="U127" s="1"/>
      <c r="V127" s="1"/>
      <c r="W127" s="1"/>
      <c r="X127" s="1"/>
      <c r="Y127" s="1"/>
      <c r="Z127" s="1"/>
    </row>
    <row r="128" spans="1:26">
      <c r="A128" s="12">
        <v>46023</v>
      </c>
      <c r="B128" s="8" t="s">
        <v>71</v>
      </c>
      <c r="C128" s="13">
        <v>50047</v>
      </c>
      <c r="D128" s="14">
        <v>20.66</v>
      </c>
      <c r="E128" s="15">
        <f t="shared" si="18"/>
        <v>1033.97102</v>
      </c>
      <c r="F128" s="14">
        <v>11.82</v>
      </c>
      <c r="G128" s="15">
        <f t="shared" si="19"/>
        <v>591.55554000000006</v>
      </c>
      <c r="H128" s="15">
        <f t="shared" si="20"/>
        <v>442.41547999999989</v>
      </c>
      <c r="I128" s="16">
        <f t="shared" si="21"/>
        <v>0.42787996127783146</v>
      </c>
      <c r="J128" s="17">
        <v>70.900000000000006</v>
      </c>
      <c r="K128" s="17">
        <v>81.900000000000006</v>
      </c>
      <c r="L128" s="17">
        <v>61.3</v>
      </c>
      <c r="M128" s="15">
        <f t="shared" si="22"/>
        <v>228.31547999999992</v>
      </c>
      <c r="N128" s="16">
        <f t="shared" si="23"/>
        <v>0.22081419651394091</v>
      </c>
      <c r="O128" s="8" t="s">
        <v>98</v>
      </c>
      <c r="P128" s="1"/>
      <c r="Q128" s="1"/>
      <c r="R128" s="1"/>
      <c r="S128" s="1"/>
      <c r="T128" s="1"/>
      <c r="U128" s="1"/>
      <c r="V128" s="1"/>
      <c r="W128" s="1"/>
      <c r="X128" s="1"/>
      <c r="Y128" s="1"/>
      <c r="Z128" s="1"/>
    </row>
    <row r="129" spans="1:26">
      <c r="A129" s="12">
        <v>46054</v>
      </c>
      <c r="B129" s="8" t="s">
        <v>67</v>
      </c>
      <c r="C129" s="13">
        <v>120677</v>
      </c>
      <c r="D129" s="14">
        <v>8.9</v>
      </c>
      <c r="E129" s="15">
        <f t="shared" si="18"/>
        <v>1074.0253</v>
      </c>
      <c r="F129" s="14">
        <v>4.5599999999999996</v>
      </c>
      <c r="G129" s="15">
        <f t="shared" si="19"/>
        <v>550.28711999999996</v>
      </c>
      <c r="H129" s="15">
        <f t="shared" si="20"/>
        <v>523.73818000000006</v>
      </c>
      <c r="I129" s="16">
        <f t="shared" si="21"/>
        <v>0.48764044943820228</v>
      </c>
      <c r="J129" s="17">
        <v>79.7</v>
      </c>
      <c r="K129" s="17">
        <v>130.6</v>
      </c>
      <c r="L129" s="17">
        <v>90.9</v>
      </c>
      <c r="M129" s="15">
        <f t="shared" si="22"/>
        <v>222.5381800000001</v>
      </c>
      <c r="N129" s="16">
        <f t="shared" si="23"/>
        <v>0.20720012833962115</v>
      </c>
      <c r="O129" s="8" t="s">
        <v>98</v>
      </c>
      <c r="P129" s="1"/>
      <c r="Q129" s="1"/>
      <c r="R129" s="1"/>
      <c r="S129" s="1"/>
      <c r="T129" s="1"/>
      <c r="U129" s="1"/>
      <c r="V129" s="1"/>
      <c r="W129" s="1"/>
      <c r="X129" s="1"/>
      <c r="Y129" s="1"/>
      <c r="Z129" s="1"/>
    </row>
    <row r="130" spans="1:26">
      <c r="A130" s="12">
        <v>46054</v>
      </c>
      <c r="B130" s="8" t="s">
        <v>68</v>
      </c>
      <c r="C130" s="13">
        <v>97652</v>
      </c>
      <c r="D130" s="14">
        <v>10.72</v>
      </c>
      <c r="E130" s="15">
        <f t="shared" si="18"/>
        <v>1046.82944</v>
      </c>
      <c r="F130" s="14">
        <v>5.93</v>
      </c>
      <c r="G130" s="15">
        <f t="shared" si="19"/>
        <v>579.07636000000002</v>
      </c>
      <c r="H130" s="15">
        <f t="shared" si="20"/>
        <v>467.75307999999995</v>
      </c>
      <c r="I130" s="16">
        <f t="shared" si="21"/>
        <v>0.44682835820895517</v>
      </c>
      <c r="J130" s="17">
        <v>62.4</v>
      </c>
      <c r="K130" s="17">
        <v>111.6</v>
      </c>
      <c r="L130" s="17">
        <v>77.7</v>
      </c>
      <c r="M130" s="15">
        <f t="shared" si="22"/>
        <v>216.05307999999997</v>
      </c>
      <c r="N130" s="16">
        <f t="shared" si="23"/>
        <v>0.20638804350019041</v>
      </c>
      <c r="O130" s="8" t="s">
        <v>98</v>
      </c>
      <c r="P130" s="1"/>
      <c r="Q130" s="1"/>
      <c r="R130" s="1"/>
      <c r="S130" s="1"/>
      <c r="T130" s="1"/>
      <c r="U130" s="1"/>
      <c r="V130" s="1"/>
      <c r="W130" s="1"/>
      <c r="X130" s="1"/>
      <c r="Y130" s="1"/>
      <c r="Z130" s="1"/>
    </row>
    <row r="131" spans="1:26">
      <c r="A131" s="12">
        <v>46054</v>
      </c>
      <c r="B131" s="8" t="s">
        <v>69</v>
      </c>
      <c r="C131" s="13">
        <v>77584</v>
      </c>
      <c r="D131" s="14">
        <v>15.5</v>
      </c>
      <c r="E131" s="15">
        <f t="shared" si="18"/>
        <v>1202.5519999999999</v>
      </c>
      <c r="F131" s="14">
        <v>8.19</v>
      </c>
      <c r="G131" s="15">
        <f t="shared" si="19"/>
        <v>635.41296</v>
      </c>
      <c r="H131" s="15">
        <f t="shared" si="20"/>
        <v>567.13903999999991</v>
      </c>
      <c r="I131" s="16">
        <f t="shared" si="21"/>
        <v>0.4716129032258064</v>
      </c>
      <c r="J131" s="17">
        <v>106.6</v>
      </c>
      <c r="K131" s="17">
        <v>99.1</v>
      </c>
      <c r="L131" s="17">
        <v>71.599999999999994</v>
      </c>
      <c r="M131" s="15">
        <f t="shared" si="22"/>
        <v>289.83903999999984</v>
      </c>
      <c r="N131" s="16">
        <f t="shared" si="23"/>
        <v>0.2410199642094478</v>
      </c>
      <c r="O131" s="8" t="s">
        <v>98</v>
      </c>
      <c r="P131" s="1"/>
      <c r="Q131" s="1"/>
      <c r="R131" s="1"/>
      <c r="S131" s="1"/>
      <c r="T131" s="1"/>
      <c r="U131" s="1"/>
      <c r="V131" s="1"/>
      <c r="W131" s="1"/>
      <c r="X131" s="1"/>
      <c r="Y131" s="1"/>
      <c r="Z131" s="1"/>
    </row>
    <row r="132" spans="1:26">
      <c r="A132" s="12">
        <v>46054</v>
      </c>
      <c r="B132" s="8" t="s">
        <v>70</v>
      </c>
      <c r="C132" s="13">
        <v>63523</v>
      </c>
      <c r="D132" s="14">
        <v>13.14</v>
      </c>
      <c r="E132" s="15">
        <f t="shared" ref="E132:E163" si="24">C132*D132/1000</f>
        <v>834.69222000000013</v>
      </c>
      <c r="F132" s="14">
        <v>6.85</v>
      </c>
      <c r="G132" s="15">
        <f t="shared" ref="G132:G163" si="25">C132*F132/1000</f>
        <v>435.13254999999998</v>
      </c>
      <c r="H132" s="15">
        <f t="shared" ref="H132:H163" si="26">E132-G132</f>
        <v>399.55967000000015</v>
      </c>
      <c r="I132" s="16">
        <f t="shared" ref="I132:I163" si="27">IFERROR(H132/E132,0)</f>
        <v>0.47869101978691031</v>
      </c>
      <c r="J132" s="17">
        <v>72.8</v>
      </c>
      <c r="K132" s="17">
        <v>89.2</v>
      </c>
      <c r="L132" s="17">
        <v>65.5</v>
      </c>
      <c r="M132" s="15">
        <f t="shared" ref="M132:M163" si="28">H132-J132-K132-L132</f>
        <v>172.05967000000015</v>
      </c>
      <c r="N132" s="16">
        <f t="shared" ref="N132:N163" si="29">IFERROR(M132/E132,0)</f>
        <v>0.2061354663159555</v>
      </c>
      <c r="O132" s="8" t="s">
        <v>98</v>
      </c>
      <c r="P132" s="1"/>
      <c r="Q132" s="1"/>
      <c r="R132" s="1"/>
      <c r="S132" s="1"/>
      <c r="T132" s="1"/>
      <c r="U132" s="1"/>
      <c r="V132" s="1"/>
      <c r="W132" s="1"/>
      <c r="X132" s="1"/>
      <c r="Y132" s="1"/>
      <c r="Z132" s="1"/>
    </row>
    <row r="133" spans="1:26">
      <c r="A133" s="12">
        <v>46054</v>
      </c>
      <c r="B133" s="8" t="s">
        <v>71</v>
      </c>
      <c r="C133" s="13">
        <v>52083</v>
      </c>
      <c r="D133" s="14">
        <v>20.38</v>
      </c>
      <c r="E133" s="15">
        <f t="shared" si="24"/>
        <v>1061.45154</v>
      </c>
      <c r="F133" s="14">
        <v>11.87</v>
      </c>
      <c r="G133" s="15">
        <f t="shared" si="25"/>
        <v>618.22520999999995</v>
      </c>
      <c r="H133" s="15">
        <f t="shared" si="26"/>
        <v>443.22633000000008</v>
      </c>
      <c r="I133" s="16">
        <f t="shared" si="27"/>
        <v>0.41756624141315019</v>
      </c>
      <c r="J133" s="17">
        <v>76.900000000000006</v>
      </c>
      <c r="K133" s="17">
        <v>81.900000000000006</v>
      </c>
      <c r="L133" s="17">
        <v>60.4</v>
      </c>
      <c r="M133" s="15">
        <f t="shared" si="28"/>
        <v>224.02633000000012</v>
      </c>
      <c r="N133" s="16">
        <f t="shared" si="29"/>
        <v>0.21105657824002036</v>
      </c>
      <c r="O133" s="8" t="s">
        <v>98</v>
      </c>
      <c r="P133" s="1"/>
      <c r="Q133" s="1"/>
      <c r="R133" s="1"/>
      <c r="S133" s="1"/>
      <c r="T133" s="1"/>
      <c r="U133" s="1"/>
      <c r="V133" s="1"/>
      <c r="W133" s="1"/>
      <c r="X133" s="1"/>
      <c r="Y133" s="1"/>
      <c r="Z133" s="1"/>
    </row>
    <row r="134" spans="1:26">
      <c r="A134" s="12">
        <v>46082</v>
      </c>
      <c r="B134" s="8" t="s">
        <v>67</v>
      </c>
      <c r="C134" s="13">
        <v>130294</v>
      </c>
      <c r="D134" s="14">
        <v>8.84</v>
      </c>
      <c r="E134" s="15">
        <f t="shared" si="24"/>
        <v>1151.7989599999999</v>
      </c>
      <c r="F134" s="14">
        <v>4.5999999999999996</v>
      </c>
      <c r="G134" s="15">
        <f t="shared" si="25"/>
        <v>599.35239999999988</v>
      </c>
      <c r="H134" s="15">
        <f t="shared" si="26"/>
        <v>552.44655999999998</v>
      </c>
      <c r="I134" s="16">
        <f t="shared" si="27"/>
        <v>0.47963800904977377</v>
      </c>
      <c r="J134" s="17">
        <v>85.3</v>
      </c>
      <c r="K134" s="17">
        <v>126</v>
      </c>
      <c r="L134" s="17">
        <v>92</v>
      </c>
      <c r="M134" s="15">
        <f t="shared" si="28"/>
        <v>249.14655999999997</v>
      </c>
      <c r="N134" s="16">
        <f t="shared" si="29"/>
        <v>0.21631080479530906</v>
      </c>
      <c r="O134" s="8" t="s">
        <v>98</v>
      </c>
      <c r="P134" s="1"/>
      <c r="Q134" s="1"/>
      <c r="R134" s="1"/>
      <c r="S134" s="1"/>
      <c r="T134" s="1"/>
      <c r="U134" s="1"/>
      <c r="V134" s="1"/>
      <c r="W134" s="1"/>
      <c r="X134" s="1"/>
      <c r="Y134" s="1"/>
      <c r="Z134" s="1"/>
    </row>
    <row r="135" spans="1:26">
      <c r="A135" s="12">
        <v>46082</v>
      </c>
      <c r="B135" s="8" t="s">
        <v>68</v>
      </c>
      <c r="C135" s="13">
        <v>104872</v>
      </c>
      <c r="D135" s="14">
        <v>10.69</v>
      </c>
      <c r="E135" s="15">
        <f t="shared" si="24"/>
        <v>1121.08168</v>
      </c>
      <c r="F135" s="14">
        <v>5.98</v>
      </c>
      <c r="G135" s="15">
        <f t="shared" si="25"/>
        <v>627.13456000000008</v>
      </c>
      <c r="H135" s="15">
        <f t="shared" si="26"/>
        <v>493.94711999999993</v>
      </c>
      <c r="I135" s="16">
        <f t="shared" si="27"/>
        <v>0.44059869036482685</v>
      </c>
      <c r="J135" s="17">
        <v>67.099999999999994</v>
      </c>
      <c r="K135" s="17">
        <v>112.5</v>
      </c>
      <c r="L135" s="17">
        <v>77.099999999999994</v>
      </c>
      <c r="M135" s="15">
        <f t="shared" si="28"/>
        <v>237.24711999999991</v>
      </c>
      <c r="N135" s="16">
        <f t="shared" si="29"/>
        <v>0.21162340285499975</v>
      </c>
      <c r="O135" s="8" t="s">
        <v>98</v>
      </c>
      <c r="P135" s="1"/>
      <c r="Q135" s="1"/>
      <c r="R135" s="1"/>
      <c r="S135" s="1"/>
      <c r="T135" s="1"/>
      <c r="U135" s="1"/>
      <c r="V135" s="1"/>
      <c r="W135" s="1"/>
      <c r="X135" s="1"/>
      <c r="Y135" s="1"/>
      <c r="Z135" s="1"/>
    </row>
    <row r="136" spans="1:26">
      <c r="A136" s="12">
        <v>46082</v>
      </c>
      <c r="B136" s="8" t="s">
        <v>69</v>
      </c>
      <c r="C136" s="13">
        <v>81514</v>
      </c>
      <c r="D136" s="14">
        <v>15.66</v>
      </c>
      <c r="E136" s="15">
        <f t="shared" si="24"/>
        <v>1276.5092400000001</v>
      </c>
      <c r="F136" s="14">
        <v>8.1300000000000008</v>
      </c>
      <c r="G136" s="15">
        <f t="shared" si="25"/>
        <v>662.70882000000006</v>
      </c>
      <c r="H136" s="15">
        <f t="shared" si="26"/>
        <v>613.80042000000003</v>
      </c>
      <c r="I136" s="16">
        <f t="shared" si="27"/>
        <v>0.48084291187739464</v>
      </c>
      <c r="J136" s="17">
        <v>110.9</v>
      </c>
      <c r="K136" s="17">
        <v>98.9</v>
      </c>
      <c r="L136" s="17">
        <v>72.8</v>
      </c>
      <c r="M136" s="15">
        <f t="shared" si="28"/>
        <v>331.20042000000007</v>
      </c>
      <c r="N136" s="16">
        <f t="shared" si="29"/>
        <v>0.25945791038692367</v>
      </c>
      <c r="O136" s="8" t="s">
        <v>98</v>
      </c>
      <c r="P136" s="1"/>
      <c r="Q136" s="1"/>
      <c r="R136" s="1"/>
      <c r="S136" s="1"/>
      <c r="T136" s="1"/>
      <c r="U136" s="1"/>
      <c r="V136" s="1"/>
      <c r="W136" s="1"/>
      <c r="X136" s="1"/>
      <c r="Y136" s="1"/>
      <c r="Z136" s="1"/>
    </row>
    <row r="137" spans="1:26">
      <c r="A137" s="12">
        <v>46082</v>
      </c>
      <c r="B137" s="8" t="s">
        <v>70</v>
      </c>
      <c r="C137" s="13">
        <v>68036</v>
      </c>
      <c r="D137" s="14">
        <v>13.11</v>
      </c>
      <c r="E137" s="15">
        <f t="shared" si="24"/>
        <v>891.95195999999999</v>
      </c>
      <c r="F137" s="14">
        <v>6.8</v>
      </c>
      <c r="G137" s="15">
        <f t="shared" si="25"/>
        <v>462.64479999999998</v>
      </c>
      <c r="H137" s="15">
        <f t="shared" si="26"/>
        <v>429.30716000000001</v>
      </c>
      <c r="I137" s="16">
        <f t="shared" si="27"/>
        <v>0.4813119755911518</v>
      </c>
      <c r="J137" s="17">
        <v>78.599999999999994</v>
      </c>
      <c r="K137" s="17">
        <v>91.1</v>
      </c>
      <c r="L137" s="17">
        <v>67.5</v>
      </c>
      <c r="M137" s="15">
        <f t="shared" si="28"/>
        <v>192.10716000000002</v>
      </c>
      <c r="N137" s="16">
        <f t="shared" si="29"/>
        <v>0.21537837082615977</v>
      </c>
      <c r="O137" s="8" t="s">
        <v>98</v>
      </c>
      <c r="P137" s="1"/>
      <c r="Q137" s="1"/>
      <c r="R137" s="1"/>
      <c r="S137" s="1"/>
      <c r="T137" s="1"/>
      <c r="U137" s="1"/>
      <c r="V137" s="1"/>
      <c r="W137" s="1"/>
      <c r="X137" s="1"/>
      <c r="Y137" s="1"/>
      <c r="Z137" s="1"/>
    </row>
    <row r="138" spans="1:26">
      <c r="A138" s="12">
        <v>46082</v>
      </c>
      <c r="B138" s="8" t="s">
        <v>71</v>
      </c>
      <c r="C138" s="13">
        <v>54039</v>
      </c>
      <c r="D138" s="14">
        <v>20.399999999999999</v>
      </c>
      <c r="E138" s="15">
        <f t="shared" si="24"/>
        <v>1102.3955999999998</v>
      </c>
      <c r="F138" s="14">
        <v>11.74</v>
      </c>
      <c r="G138" s="15">
        <f t="shared" si="25"/>
        <v>634.41786000000002</v>
      </c>
      <c r="H138" s="15">
        <f t="shared" si="26"/>
        <v>467.97773999999981</v>
      </c>
      <c r="I138" s="16">
        <f t="shared" si="27"/>
        <v>0.42450980392156851</v>
      </c>
      <c r="J138" s="17">
        <v>73.099999999999994</v>
      </c>
      <c r="K138" s="17">
        <v>82.3</v>
      </c>
      <c r="L138" s="17">
        <v>62.2</v>
      </c>
      <c r="M138" s="15">
        <f t="shared" si="28"/>
        <v>250.37773999999979</v>
      </c>
      <c r="N138" s="16">
        <f t="shared" si="29"/>
        <v>0.22712149794502068</v>
      </c>
      <c r="O138" s="8" t="s">
        <v>98</v>
      </c>
      <c r="P138" s="1"/>
      <c r="Q138" s="1"/>
      <c r="R138" s="1"/>
      <c r="S138" s="1"/>
      <c r="T138" s="1"/>
      <c r="U138" s="1"/>
      <c r="V138" s="1"/>
      <c r="W138" s="1"/>
      <c r="X138" s="1"/>
      <c r="Y138" s="1"/>
      <c r="Z138" s="1"/>
    </row>
    <row r="139" spans="1:26">
      <c r="A139" s="12">
        <v>46113</v>
      </c>
      <c r="B139" s="8" t="s">
        <v>67</v>
      </c>
      <c r="C139" s="13">
        <v>128218</v>
      </c>
      <c r="D139" s="14">
        <v>8.81</v>
      </c>
      <c r="E139" s="15">
        <f t="shared" si="24"/>
        <v>1129.60058</v>
      </c>
      <c r="F139" s="14">
        <v>4.54</v>
      </c>
      <c r="G139" s="15">
        <f t="shared" si="25"/>
        <v>582.10971999999992</v>
      </c>
      <c r="H139" s="15">
        <f t="shared" si="26"/>
        <v>547.49086000000011</v>
      </c>
      <c r="I139" s="16">
        <f t="shared" si="27"/>
        <v>0.4846765039727583</v>
      </c>
      <c r="J139" s="17">
        <v>86.2</v>
      </c>
      <c r="K139" s="17">
        <v>127.9</v>
      </c>
      <c r="L139" s="17">
        <v>88.2</v>
      </c>
      <c r="M139" s="15">
        <f t="shared" si="28"/>
        <v>245.1908600000001</v>
      </c>
      <c r="N139" s="16">
        <f t="shared" si="29"/>
        <v>0.21705978585811286</v>
      </c>
      <c r="O139" s="8" t="s">
        <v>98</v>
      </c>
      <c r="P139" s="1"/>
      <c r="Q139" s="1"/>
      <c r="R139" s="1"/>
      <c r="S139" s="1"/>
      <c r="T139" s="1"/>
      <c r="U139" s="1"/>
      <c r="V139" s="1"/>
      <c r="W139" s="1"/>
      <c r="X139" s="1"/>
      <c r="Y139" s="1"/>
      <c r="Z139" s="1"/>
    </row>
    <row r="140" spans="1:26">
      <c r="A140" s="12">
        <v>46113</v>
      </c>
      <c r="B140" s="8" t="s">
        <v>68</v>
      </c>
      <c r="C140" s="13">
        <v>104463</v>
      </c>
      <c r="D140" s="14">
        <v>10.65</v>
      </c>
      <c r="E140" s="15">
        <f t="shared" si="24"/>
        <v>1112.5309499999998</v>
      </c>
      <c r="F140" s="14">
        <v>6.01</v>
      </c>
      <c r="G140" s="15">
        <f t="shared" si="25"/>
        <v>627.82263</v>
      </c>
      <c r="H140" s="15">
        <f t="shared" si="26"/>
        <v>484.70831999999984</v>
      </c>
      <c r="I140" s="16">
        <f t="shared" si="27"/>
        <v>0.43568075117370886</v>
      </c>
      <c r="J140" s="17">
        <v>70.099999999999994</v>
      </c>
      <c r="K140" s="17">
        <v>111.9</v>
      </c>
      <c r="L140" s="17">
        <v>76.400000000000006</v>
      </c>
      <c r="M140" s="15">
        <f t="shared" si="28"/>
        <v>226.30831999999984</v>
      </c>
      <c r="N140" s="16">
        <f t="shared" si="29"/>
        <v>0.20341754986681482</v>
      </c>
      <c r="O140" s="8" t="s">
        <v>98</v>
      </c>
      <c r="P140" s="1"/>
      <c r="Q140" s="1"/>
      <c r="R140" s="1"/>
      <c r="S140" s="1"/>
      <c r="T140" s="1"/>
      <c r="U140" s="1"/>
      <c r="V140" s="1"/>
      <c r="W140" s="1"/>
      <c r="X140" s="1"/>
      <c r="Y140" s="1"/>
      <c r="Z140" s="1"/>
    </row>
    <row r="141" spans="1:26">
      <c r="A141" s="12">
        <v>46113</v>
      </c>
      <c r="B141" s="8" t="s">
        <v>69</v>
      </c>
      <c r="C141" s="13">
        <v>81127</v>
      </c>
      <c r="D141" s="14">
        <v>15.65</v>
      </c>
      <c r="E141" s="15">
        <f t="shared" si="24"/>
        <v>1269.6375500000001</v>
      </c>
      <c r="F141" s="14">
        <v>8.27</v>
      </c>
      <c r="G141" s="15">
        <f t="shared" si="25"/>
        <v>670.92028999999991</v>
      </c>
      <c r="H141" s="15">
        <f t="shared" si="26"/>
        <v>598.71726000000024</v>
      </c>
      <c r="I141" s="16">
        <f t="shared" si="27"/>
        <v>0.47156549520766788</v>
      </c>
      <c r="J141" s="17">
        <v>105.3</v>
      </c>
      <c r="K141" s="17">
        <v>97.1</v>
      </c>
      <c r="L141" s="17">
        <v>70.599999999999994</v>
      </c>
      <c r="M141" s="15">
        <f t="shared" si="28"/>
        <v>325.71726000000024</v>
      </c>
      <c r="N141" s="16">
        <f t="shared" si="29"/>
        <v>0.25654349936326332</v>
      </c>
      <c r="O141" s="8" t="s">
        <v>98</v>
      </c>
      <c r="P141" s="1"/>
      <c r="Q141" s="1"/>
      <c r="R141" s="1"/>
      <c r="S141" s="1"/>
      <c r="T141" s="1"/>
      <c r="U141" s="1"/>
      <c r="V141" s="1"/>
      <c r="W141" s="1"/>
      <c r="X141" s="1"/>
      <c r="Y141" s="1"/>
      <c r="Z141" s="1"/>
    </row>
    <row r="142" spans="1:26">
      <c r="A142" s="12">
        <v>46113</v>
      </c>
      <c r="B142" s="8" t="s">
        <v>70</v>
      </c>
      <c r="C142" s="13">
        <v>69120</v>
      </c>
      <c r="D142" s="14">
        <v>13.12</v>
      </c>
      <c r="E142" s="15">
        <f t="shared" si="24"/>
        <v>906.85439999999994</v>
      </c>
      <c r="F142" s="14">
        <v>6.89</v>
      </c>
      <c r="G142" s="15">
        <f t="shared" si="25"/>
        <v>476.23680000000002</v>
      </c>
      <c r="H142" s="15">
        <f t="shared" si="26"/>
        <v>430.61759999999992</v>
      </c>
      <c r="I142" s="16">
        <f t="shared" si="27"/>
        <v>0.47484756097560971</v>
      </c>
      <c r="J142" s="17">
        <v>81.7</v>
      </c>
      <c r="K142" s="17">
        <v>90.8</v>
      </c>
      <c r="L142" s="17">
        <v>65.099999999999994</v>
      </c>
      <c r="M142" s="15">
        <f t="shared" si="28"/>
        <v>193.01759999999993</v>
      </c>
      <c r="N142" s="16">
        <f t="shared" si="29"/>
        <v>0.21284298780487798</v>
      </c>
      <c r="O142" s="8" t="s">
        <v>98</v>
      </c>
      <c r="P142" s="1"/>
      <c r="Q142" s="1"/>
      <c r="R142" s="1"/>
      <c r="S142" s="1"/>
      <c r="T142" s="1"/>
      <c r="U142" s="1"/>
      <c r="V142" s="1"/>
      <c r="W142" s="1"/>
      <c r="X142" s="1"/>
      <c r="Y142" s="1"/>
      <c r="Z142" s="1"/>
    </row>
    <row r="143" spans="1:26">
      <c r="A143" s="12">
        <v>46113</v>
      </c>
      <c r="B143" s="8" t="s">
        <v>71</v>
      </c>
      <c r="C143" s="13">
        <v>55475</v>
      </c>
      <c r="D143" s="14">
        <v>20.48</v>
      </c>
      <c r="E143" s="15">
        <f t="shared" si="24"/>
        <v>1136.1279999999999</v>
      </c>
      <c r="F143" s="14">
        <v>11.77</v>
      </c>
      <c r="G143" s="15">
        <f t="shared" si="25"/>
        <v>652.94074999999998</v>
      </c>
      <c r="H143" s="15">
        <f t="shared" si="26"/>
        <v>483.18724999999995</v>
      </c>
      <c r="I143" s="16">
        <f t="shared" si="27"/>
        <v>0.42529296875</v>
      </c>
      <c r="J143" s="17">
        <v>73</v>
      </c>
      <c r="K143" s="17">
        <v>82</v>
      </c>
      <c r="L143" s="17">
        <v>64.099999999999994</v>
      </c>
      <c r="M143" s="15">
        <f t="shared" si="28"/>
        <v>264.08724999999993</v>
      </c>
      <c r="N143" s="16">
        <f t="shared" si="29"/>
        <v>0.23244497979100942</v>
      </c>
      <c r="O143" s="8" t="s">
        <v>98</v>
      </c>
      <c r="P143" s="1"/>
      <c r="Q143" s="1"/>
      <c r="R143" s="1"/>
      <c r="S143" s="1"/>
      <c r="T143" s="1"/>
      <c r="U143" s="1"/>
      <c r="V143" s="1"/>
      <c r="W143" s="1"/>
      <c r="X143" s="1"/>
      <c r="Y143" s="1"/>
      <c r="Z143" s="1"/>
    </row>
    <row r="144" spans="1:26">
      <c r="A144" s="12">
        <v>46143</v>
      </c>
      <c r="B144" s="8" t="s">
        <v>67</v>
      </c>
      <c r="C144" s="13">
        <v>130981</v>
      </c>
      <c r="D144" s="14">
        <v>8.86</v>
      </c>
      <c r="E144" s="15">
        <f t="shared" si="24"/>
        <v>1160.4916599999999</v>
      </c>
      <c r="F144" s="14">
        <v>4.59</v>
      </c>
      <c r="G144" s="15">
        <f t="shared" si="25"/>
        <v>601.20279000000005</v>
      </c>
      <c r="H144" s="15">
        <f t="shared" si="26"/>
        <v>559.28886999999986</v>
      </c>
      <c r="I144" s="16">
        <f t="shared" si="27"/>
        <v>0.48194130925507894</v>
      </c>
      <c r="J144" s="17">
        <v>90.8</v>
      </c>
      <c r="K144" s="17">
        <v>129.69999999999999</v>
      </c>
      <c r="L144" s="17">
        <v>92.1</v>
      </c>
      <c r="M144" s="15">
        <f t="shared" si="28"/>
        <v>246.68886999999987</v>
      </c>
      <c r="N144" s="16">
        <f t="shared" si="29"/>
        <v>0.2125727211171857</v>
      </c>
      <c r="O144" s="8" t="s">
        <v>98</v>
      </c>
      <c r="P144" s="1"/>
      <c r="Q144" s="1"/>
      <c r="R144" s="1"/>
      <c r="S144" s="1"/>
      <c r="T144" s="1"/>
      <c r="U144" s="1"/>
      <c r="V144" s="1"/>
      <c r="W144" s="1"/>
      <c r="X144" s="1"/>
      <c r="Y144" s="1"/>
      <c r="Z144" s="1"/>
    </row>
    <row r="145" spans="1:26">
      <c r="A145" s="12">
        <v>46143</v>
      </c>
      <c r="B145" s="8" t="s">
        <v>68</v>
      </c>
      <c r="C145" s="13">
        <v>104674</v>
      </c>
      <c r="D145" s="14">
        <v>10.7</v>
      </c>
      <c r="E145" s="15">
        <f t="shared" si="24"/>
        <v>1120.0117999999998</v>
      </c>
      <c r="F145" s="14">
        <v>6</v>
      </c>
      <c r="G145" s="15">
        <f t="shared" si="25"/>
        <v>628.04399999999998</v>
      </c>
      <c r="H145" s="15">
        <f t="shared" si="26"/>
        <v>491.96779999999978</v>
      </c>
      <c r="I145" s="16">
        <f t="shared" si="27"/>
        <v>0.43925233644859801</v>
      </c>
      <c r="J145" s="17">
        <v>71.099999999999994</v>
      </c>
      <c r="K145" s="17">
        <v>112.2</v>
      </c>
      <c r="L145" s="17">
        <v>74.5</v>
      </c>
      <c r="M145" s="15">
        <f t="shared" si="28"/>
        <v>234.16779999999977</v>
      </c>
      <c r="N145" s="16">
        <f t="shared" si="29"/>
        <v>0.20907619009013997</v>
      </c>
      <c r="O145" s="8" t="s">
        <v>98</v>
      </c>
      <c r="P145" s="1"/>
      <c r="Q145" s="1"/>
      <c r="R145" s="1"/>
      <c r="S145" s="1"/>
      <c r="T145" s="1"/>
      <c r="U145" s="1"/>
      <c r="V145" s="1"/>
      <c r="W145" s="1"/>
      <c r="X145" s="1"/>
      <c r="Y145" s="1"/>
      <c r="Z145" s="1"/>
    </row>
    <row r="146" spans="1:26">
      <c r="A146" s="12">
        <v>46143</v>
      </c>
      <c r="B146" s="8" t="s">
        <v>69</v>
      </c>
      <c r="C146" s="13">
        <v>80118</v>
      </c>
      <c r="D146" s="14">
        <v>15.6</v>
      </c>
      <c r="E146" s="15">
        <f t="shared" si="24"/>
        <v>1249.8407999999999</v>
      </c>
      <c r="F146" s="14">
        <v>8.26</v>
      </c>
      <c r="G146" s="15">
        <f t="shared" si="25"/>
        <v>661.77467999999999</v>
      </c>
      <c r="H146" s="15">
        <f t="shared" si="26"/>
        <v>588.06611999999996</v>
      </c>
      <c r="I146" s="16">
        <f t="shared" si="27"/>
        <v>0.47051282051282051</v>
      </c>
      <c r="J146" s="17">
        <v>112</v>
      </c>
      <c r="K146" s="17">
        <v>100.6</v>
      </c>
      <c r="L146" s="17">
        <v>70.3</v>
      </c>
      <c r="M146" s="15">
        <f t="shared" si="28"/>
        <v>305.16611999999992</v>
      </c>
      <c r="N146" s="16">
        <f t="shared" si="29"/>
        <v>0.24416399272611355</v>
      </c>
      <c r="O146" s="8" t="s">
        <v>98</v>
      </c>
      <c r="P146" s="1"/>
      <c r="Q146" s="1"/>
      <c r="R146" s="1"/>
      <c r="S146" s="1"/>
      <c r="T146" s="1"/>
      <c r="U146" s="1"/>
      <c r="V146" s="1"/>
      <c r="W146" s="1"/>
      <c r="X146" s="1"/>
      <c r="Y146" s="1"/>
      <c r="Z146" s="1"/>
    </row>
    <row r="147" spans="1:26">
      <c r="A147" s="12">
        <v>46143</v>
      </c>
      <c r="B147" s="8" t="s">
        <v>70</v>
      </c>
      <c r="C147" s="13">
        <v>68758</v>
      </c>
      <c r="D147" s="14">
        <v>13.07</v>
      </c>
      <c r="E147" s="15">
        <f t="shared" si="24"/>
        <v>898.66706000000011</v>
      </c>
      <c r="F147" s="14">
        <v>6.89</v>
      </c>
      <c r="G147" s="15">
        <f t="shared" si="25"/>
        <v>473.74261999999999</v>
      </c>
      <c r="H147" s="15">
        <f t="shared" si="26"/>
        <v>424.92444000000012</v>
      </c>
      <c r="I147" s="16">
        <f t="shared" si="27"/>
        <v>0.47283856159143084</v>
      </c>
      <c r="J147" s="17">
        <v>81.099999999999994</v>
      </c>
      <c r="K147" s="17">
        <v>91.6</v>
      </c>
      <c r="L147" s="17">
        <v>67.099999999999994</v>
      </c>
      <c r="M147" s="15">
        <f t="shared" si="28"/>
        <v>185.12444000000011</v>
      </c>
      <c r="N147" s="16">
        <f t="shared" si="29"/>
        <v>0.20599891577198801</v>
      </c>
      <c r="O147" s="8" t="s">
        <v>98</v>
      </c>
      <c r="P147" s="1"/>
      <c r="Q147" s="1"/>
      <c r="R147" s="1"/>
      <c r="S147" s="1"/>
      <c r="T147" s="1"/>
      <c r="U147" s="1"/>
      <c r="V147" s="1"/>
      <c r="W147" s="1"/>
      <c r="X147" s="1"/>
      <c r="Y147" s="1"/>
      <c r="Z147" s="1"/>
    </row>
    <row r="148" spans="1:26">
      <c r="A148" s="12">
        <v>46143</v>
      </c>
      <c r="B148" s="8" t="s">
        <v>71</v>
      </c>
      <c r="C148" s="13">
        <v>54475</v>
      </c>
      <c r="D148" s="14">
        <v>20.61</v>
      </c>
      <c r="E148" s="15">
        <f t="shared" si="24"/>
        <v>1122.72975</v>
      </c>
      <c r="F148" s="14">
        <v>11.67</v>
      </c>
      <c r="G148" s="15">
        <f t="shared" si="25"/>
        <v>635.72325000000001</v>
      </c>
      <c r="H148" s="15">
        <f t="shared" si="26"/>
        <v>487.00649999999996</v>
      </c>
      <c r="I148" s="16">
        <f t="shared" si="27"/>
        <v>0.43377001455604075</v>
      </c>
      <c r="J148" s="17">
        <v>74.8</v>
      </c>
      <c r="K148" s="17">
        <v>80.599999999999994</v>
      </c>
      <c r="L148" s="17">
        <v>62.2</v>
      </c>
      <c r="M148" s="15">
        <f t="shared" si="28"/>
        <v>269.40649999999999</v>
      </c>
      <c r="N148" s="16">
        <f t="shared" si="29"/>
        <v>0.23995667701866813</v>
      </c>
      <c r="O148" s="8" t="s">
        <v>98</v>
      </c>
      <c r="P148" s="1"/>
      <c r="Q148" s="1"/>
      <c r="R148" s="1"/>
      <c r="S148" s="1"/>
      <c r="T148" s="1"/>
      <c r="U148" s="1"/>
      <c r="V148" s="1"/>
      <c r="W148" s="1"/>
      <c r="X148" s="1"/>
      <c r="Y148" s="1"/>
      <c r="Z148" s="1"/>
    </row>
    <row r="149" spans="1:26">
      <c r="A149" s="12">
        <v>46174</v>
      </c>
      <c r="B149" s="8" t="s">
        <v>67</v>
      </c>
      <c r="C149" s="13">
        <v>135674</v>
      </c>
      <c r="D149" s="14">
        <v>8.8800000000000008</v>
      </c>
      <c r="E149" s="15">
        <f t="shared" si="24"/>
        <v>1204.78512</v>
      </c>
      <c r="F149" s="14">
        <v>4.54</v>
      </c>
      <c r="G149" s="15">
        <f t="shared" si="25"/>
        <v>615.95995999999991</v>
      </c>
      <c r="H149" s="15">
        <f t="shared" si="26"/>
        <v>588.8251600000001</v>
      </c>
      <c r="I149" s="16">
        <f t="shared" si="27"/>
        <v>0.4887387387387388</v>
      </c>
      <c r="J149" s="17">
        <v>83.1</v>
      </c>
      <c r="K149" s="17">
        <v>129.80000000000001</v>
      </c>
      <c r="L149" s="17">
        <v>90.6</v>
      </c>
      <c r="M149" s="15">
        <f t="shared" si="28"/>
        <v>285.3251600000001</v>
      </c>
      <c r="N149" s="16">
        <f t="shared" si="29"/>
        <v>0.23682659692875366</v>
      </c>
      <c r="O149" s="8" t="s">
        <v>98</v>
      </c>
      <c r="P149" s="1"/>
      <c r="Q149" s="1"/>
      <c r="R149" s="1"/>
      <c r="S149" s="1"/>
      <c r="T149" s="1"/>
      <c r="U149" s="1"/>
      <c r="V149" s="1"/>
      <c r="W149" s="1"/>
      <c r="X149" s="1"/>
      <c r="Y149" s="1"/>
      <c r="Z149" s="1"/>
    </row>
    <row r="150" spans="1:26">
      <c r="A150" s="12">
        <v>46174</v>
      </c>
      <c r="B150" s="8" t="s">
        <v>68</v>
      </c>
      <c r="C150" s="13">
        <v>105658</v>
      </c>
      <c r="D150" s="14">
        <v>10.8</v>
      </c>
      <c r="E150" s="15">
        <f t="shared" si="24"/>
        <v>1141.1064000000001</v>
      </c>
      <c r="F150" s="14">
        <v>5.92</v>
      </c>
      <c r="G150" s="15">
        <f t="shared" si="25"/>
        <v>625.49536000000001</v>
      </c>
      <c r="H150" s="15">
        <f t="shared" si="26"/>
        <v>515.61104000000012</v>
      </c>
      <c r="I150" s="16">
        <f t="shared" si="27"/>
        <v>0.45185185185185189</v>
      </c>
      <c r="J150" s="17">
        <v>69.2</v>
      </c>
      <c r="K150" s="17">
        <v>108.8</v>
      </c>
      <c r="L150" s="17">
        <v>75.7</v>
      </c>
      <c r="M150" s="15">
        <f t="shared" si="28"/>
        <v>261.91104000000013</v>
      </c>
      <c r="N150" s="16">
        <f t="shared" si="29"/>
        <v>0.22952376745937109</v>
      </c>
      <c r="O150" s="8" t="s">
        <v>98</v>
      </c>
      <c r="P150" s="1"/>
      <c r="Q150" s="1"/>
      <c r="R150" s="1"/>
      <c r="S150" s="1"/>
      <c r="T150" s="1"/>
      <c r="U150" s="1"/>
      <c r="V150" s="1"/>
      <c r="W150" s="1"/>
      <c r="X150" s="1"/>
      <c r="Y150" s="1"/>
      <c r="Z150" s="1"/>
    </row>
    <row r="151" spans="1:26">
      <c r="A151" s="12">
        <v>46174</v>
      </c>
      <c r="B151" s="8" t="s">
        <v>69</v>
      </c>
      <c r="C151" s="13">
        <v>81326</v>
      </c>
      <c r="D151" s="14">
        <v>15.65</v>
      </c>
      <c r="E151" s="15">
        <f t="shared" si="24"/>
        <v>1272.7519000000002</v>
      </c>
      <c r="F151" s="14">
        <v>8.26</v>
      </c>
      <c r="G151" s="15">
        <f t="shared" si="25"/>
        <v>671.75275999999997</v>
      </c>
      <c r="H151" s="15">
        <f t="shared" si="26"/>
        <v>600.99914000000024</v>
      </c>
      <c r="I151" s="16">
        <f t="shared" si="27"/>
        <v>0.47220447284345057</v>
      </c>
      <c r="J151" s="17">
        <v>108.6</v>
      </c>
      <c r="K151" s="17">
        <v>97.7</v>
      </c>
      <c r="L151" s="17">
        <v>70.3</v>
      </c>
      <c r="M151" s="15">
        <f t="shared" si="28"/>
        <v>324.39914000000022</v>
      </c>
      <c r="N151" s="16">
        <f t="shared" si="29"/>
        <v>0.25488010664136518</v>
      </c>
      <c r="O151" s="8" t="s">
        <v>98</v>
      </c>
      <c r="P151" s="1"/>
      <c r="Q151" s="1"/>
      <c r="R151" s="1"/>
      <c r="S151" s="1"/>
      <c r="T151" s="1"/>
      <c r="U151" s="1"/>
      <c r="V151" s="1"/>
      <c r="W151" s="1"/>
      <c r="X151" s="1"/>
      <c r="Y151" s="1"/>
      <c r="Z151" s="1"/>
    </row>
    <row r="152" spans="1:26">
      <c r="A152" s="12">
        <v>46174</v>
      </c>
      <c r="B152" s="8" t="s">
        <v>70</v>
      </c>
      <c r="C152" s="13">
        <v>71341</v>
      </c>
      <c r="D152" s="14">
        <v>13.06</v>
      </c>
      <c r="E152" s="15">
        <f t="shared" si="24"/>
        <v>931.71346000000005</v>
      </c>
      <c r="F152" s="14">
        <v>6.86</v>
      </c>
      <c r="G152" s="15">
        <f t="shared" si="25"/>
        <v>489.39926000000003</v>
      </c>
      <c r="H152" s="15">
        <f t="shared" si="26"/>
        <v>442.31420000000003</v>
      </c>
      <c r="I152" s="16">
        <f t="shared" si="27"/>
        <v>0.47473200612557426</v>
      </c>
      <c r="J152" s="17">
        <v>83.8</v>
      </c>
      <c r="K152" s="17">
        <v>89.6</v>
      </c>
      <c r="L152" s="17">
        <v>66.8</v>
      </c>
      <c r="M152" s="15">
        <f t="shared" si="28"/>
        <v>202.11420000000004</v>
      </c>
      <c r="N152" s="16">
        <f t="shared" si="29"/>
        <v>0.2169274231586179</v>
      </c>
      <c r="O152" s="8" t="s">
        <v>98</v>
      </c>
      <c r="P152" s="1"/>
      <c r="Q152" s="1"/>
      <c r="R152" s="1"/>
      <c r="S152" s="1"/>
      <c r="T152" s="1"/>
      <c r="U152" s="1"/>
      <c r="V152" s="1"/>
      <c r="W152" s="1"/>
      <c r="X152" s="1"/>
      <c r="Y152" s="1"/>
      <c r="Z152" s="1"/>
    </row>
    <row r="153" spans="1:26">
      <c r="A153" s="12">
        <v>46174</v>
      </c>
      <c r="B153" s="8" t="s">
        <v>71</v>
      </c>
      <c r="C153" s="13">
        <v>56148</v>
      </c>
      <c r="D153" s="14">
        <v>20.48</v>
      </c>
      <c r="E153" s="15">
        <f t="shared" si="24"/>
        <v>1149.91104</v>
      </c>
      <c r="F153" s="14">
        <v>11.72</v>
      </c>
      <c r="G153" s="15">
        <f t="shared" si="25"/>
        <v>658.05456000000004</v>
      </c>
      <c r="H153" s="15">
        <f t="shared" si="26"/>
        <v>491.85647999999992</v>
      </c>
      <c r="I153" s="16">
        <f t="shared" si="27"/>
        <v>0.42773437499999994</v>
      </c>
      <c r="J153" s="17">
        <v>74.900000000000006</v>
      </c>
      <c r="K153" s="17">
        <v>82.4</v>
      </c>
      <c r="L153" s="17">
        <v>62.4</v>
      </c>
      <c r="M153" s="15">
        <f t="shared" si="28"/>
        <v>272.15647999999999</v>
      </c>
      <c r="N153" s="16">
        <f t="shared" si="29"/>
        <v>0.2366761171368526</v>
      </c>
      <c r="O153" s="8" t="s">
        <v>98</v>
      </c>
      <c r="P153" s="1"/>
      <c r="Q153" s="1"/>
      <c r="R153" s="1"/>
      <c r="S153" s="1"/>
      <c r="T153" s="1"/>
      <c r="U153" s="1"/>
      <c r="V153" s="1"/>
      <c r="W153" s="1"/>
      <c r="X153" s="1"/>
      <c r="Y153" s="1"/>
      <c r="Z153" s="1"/>
    </row>
    <row r="154" spans="1:26">
      <c r="A154" s="12">
        <v>46204</v>
      </c>
      <c r="B154" s="8" t="s">
        <v>67</v>
      </c>
      <c r="C154" s="13">
        <v>141039</v>
      </c>
      <c r="D154" s="14">
        <v>8.81</v>
      </c>
      <c r="E154" s="15">
        <f t="shared" si="24"/>
        <v>1242.55359</v>
      </c>
      <c r="F154" s="14">
        <v>4.63</v>
      </c>
      <c r="G154" s="15">
        <f t="shared" si="25"/>
        <v>653.01056999999992</v>
      </c>
      <c r="H154" s="15">
        <f t="shared" si="26"/>
        <v>589.54302000000007</v>
      </c>
      <c r="I154" s="16">
        <f t="shared" si="27"/>
        <v>0.47446083995459709</v>
      </c>
      <c r="J154" s="17">
        <v>94.3</v>
      </c>
      <c r="K154" s="17">
        <v>126</v>
      </c>
      <c r="L154" s="17">
        <v>90.3</v>
      </c>
      <c r="M154" s="15">
        <f t="shared" si="28"/>
        <v>278.94302000000005</v>
      </c>
      <c r="N154" s="16">
        <f t="shared" si="29"/>
        <v>0.22449174204228894</v>
      </c>
      <c r="O154" s="8" t="s">
        <v>98</v>
      </c>
      <c r="P154" s="1"/>
      <c r="Q154" s="1"/>
      <c r="R154" s="1"/>
      <c r="S154" s="1"/>
      <c r="T154" s="1"/>
      <c r="U154" s="1"/>
      <c r="V154" s="1"/>
      <c r="W154" s="1"/>
      <c r="X154" s="1"/>
      <c r="Y154" s="1"/>
      <c r="Z154" s="1"/>
    </row>
    <row r="155" spans="1:26">
      <c r="A155" s="12">
        <v>46204</v>
      </c>
      <c r="B155" s="8" t="s">
        <v>68</v>
      </c>
      <c r="C155" s="13">
        <v>110048</v>
      </c>
      <c r="D155" s="14">
        <v>10.77</v>
      </c>
      <c r="E155" s="15">
        <f t="shared" si="24"/>
        <v>1185.21696</v>
      </c>
      <c r="F155" s="14">
        <v>5.91</v>
      </c>
      <c r="G155" s="15">
        <f t="shared" si="25"/>
        <v>650.38368000000003</v>
      </c>
      <c r="H155" s="15">
        <f t="shared" si="26"/>
        <v>534.83327999999995</v>
      </c>
      <c r="I155" s="16">
        <f t="shared" si="27"/>
        <v>0.45125348189415038</v>
      </c>
      <c r="J155" s="17">
        <v>73.5</v>
      </c>
      <c r="K155" s="17">
        <v>110.1</v>
      </c>
      <c r="L155" s="17">
        <v>79.2</v>
      </c>
      <c r="M155" s="15">
        <f t="shared" si="28"/>
        <v>272.03327999999993</v>
      </c>
      <c r="N155" s="16">
        <f t="shared" si="29"/>
        <v>0.22952192651715003</v>
      </c>
      <c r="O155" s="8" t="s">
        <v>98</v>
      </c>
      <c r="P155" s="1"/>
      <c r="Q155" s="1"/>
      <c r="R155" s="1"/>
      <c r="S155" s="1"/>
      <c r="T155" s="1"/>
      <c r="U155" s="1"/>
      <c r="V155" s="1"/>
      <c r="W155" s="1"/>
      <c r="X155" s="1"/>
      <c r="Y155" s="1"/>
      <c r="Z155" s="1"/>
    </row>
    <row r="156" spans="1:26">
      <c r="A156" s="12">
        <v>46204</v>
      </c>
      <c r="B156" s="8" t="s">
        <v>69</v>
      </c>
      <c r="C156" s="13">
        <v>83748</v>
      </c>
      <c r="D156" s="14">
        <v>15.64</v>
      </c>
      <c r="E156" s="15">
        <f t="shared" si="24"/>
        <v>1309.81872</v>
      </c>
      <c r="F156" s="14">
        <v>8.1999999999999993</v>
      </c>
      <c r="G156" s="15">
        <f t="shared" si="25"/>
        <v>686.73360000000002</v>
      </c>
      <c r="H156" s="15">
        <f t="shared" si="26"/>
        <v>623.08511999999996</v>
      </c>
      <c r="I156" s="16">
        <f t="shared" si="27"/>
        <v>0.47570332480818411</v>
      </c>
      <c r="J156" s="17">
        <v>106.2</v>
      </c>
      <c r="K156" s="17">
        <v>100</v>
      </c>
      <c r="L156" s="17">
        <v>71.2</v>
      </c>
      <c r="M156" s="15">
        <f t="shared" si="28"/>
        <v>345.68511999999993</v>
      </c>
      <c r="N156" s="16">
        <f t="shared" si="29"/>
        <v>0.26391829244889697</v>
      </c>
      <c r="O156" s="8" t="s">
        <v>98</v>
      </c>
      <c r="P156" s="1"/>
      <c r="Q156" s="1"/>
      <c r="R156" s="1"/>
      <c r="S156" s="1"/>
      <c r="T156" s="1"/>
      <c r="U156" s="1"/>
      <c r="V156" s="1"/>
      <c r="W156" s="1"/>
      <c r="X156" s="1"/>
      <c r="Y156" s="1"/>
      <c r="Z156" s="1"/>
    </row>
    <row r="157" spans="1:26">
      <c r="A157" s="12">
        <v>46204</v>
      </c>
      <c r="B157" s="8" t="s">
        <v>70</v>
      </c>
      <c r="C157" s="13">
        <v>73713</v>
      </c>
      <c r="D157" s="14">
        <v>13.09</v>
      </c>
      <c r="E157" s="15">
        <f t="shared" si="24"/>
        <v>964.90317000000005</v>
      </c>
      <c r="F157" s="14">
        <v>6.86</v>
      </c>
      <c r="G157" s="15">
        <f t="shared" si="25"/>
        <v>505.67118000000005</v>
      </c>
      <c r="H157" s="15">
        <f t="shared" si="26"/>
        <v>459.23199</v>
      </c>
      <c r="I157" s="16">
        <f t="shared" si="27"/>
        <v>0.47593582887700531</v>
      </c>
      <c r="J157" s="17">
        <v>92.6</v>
      </c>
      <c r="K157" s="17">
        <v>91.3</v>
      </c>
      <c r="L157" s="17">
        <v>67.099999999999994</v>
      </c>
      <c r="M157" s="15">
        <f t="shared" si="28"/>
        <v>208.23198999999997</v>
      </c>
      <c r="N157" s="16">
        <f t="shared" si="29"/>
        <v>0.21580610000483258</v>
      </c>
      <c r="O157" s="8" t="s">
        <v>98</v>
      </c>
      <c r="P157" s="1"/>
      <c r="Q157" s="1"/>
      <c r="R157" s="1"/>
      <c r="S157" s="1"/>
      <c r="T157" s="1"/>
      <c r="U157" s="1"/>
      <c r="V157" s="1"/>
      <c r="W157" s="1"/>
      <c r="X157" s="1"/>
      <c r="Y157" s="1"/>
      <c r="Z157" s="1"/>
    </row>
    <row r="158" spans="1:26">
      <c r="A158" s="12">
        <v>46204</v>
      </c>
      <c r="B158" s="8" t="s">
        <v>71</v>
      </c>
      <c r="C158" s="13">
        <v>58495</v>
      </c>
      <c r="D158" s="14">
        <v>20.45</v>
      </c>
      <c r="E158" s="15">
        <f t="shared" si="24"/>
        <v>1196.2227499999999</v>
      </c>
      <c r="F158" s="14">
        <v>11.71</v>
      </c>
      <c r="G158" s="15">
        <f t="shared" si="25"/>
        <v>684.97645000000011</v>
      </c>
      <c r="H158" s="15">
        <f t="shared" si="26"/>
        <v>511.24629999999979</v>
      </c>
      <c r="I158" s="16">
        <f t="shared" si="27"/>
        <v>0.42738386308068443</v>
      </c>
      <c r="J158" s="17">
        <v>82.4</v>
      </c>
      <c r="K158" s="17">
        <v>83</v>
      </c>
      <c r="L158" s="17">
        <v>60.3</v>
      </c>
      <c r="M158" s="15">
        <f t="shared" si="28"/>
        <v>285.5462999999998</v>
      </c>
      <c r="N158" s="16">
        <f t="shared" si="29"/>
        <v>0.23870662884483665</v>
      </c>
      <c r="O158" s="8" t="s">
        <v>98</v>
      </c>
      <c r="P158" s="1"/>
      <c r="Q158" s="1"/>
      <c r="R158" s="1"/>
      <c r="S158" s="1"/>
      <c r="T158" s="1"/>
      <c r="U158" s="1"/>
      <c r="V158" s="1"/>
      <c r="W158" s="1"/>
      <c r="X158" s="1"/>
      <c r="Y158" s="1"/>
      <c r="Z158" s="1"/>
    </row>
    <row r="159" spans="1:26">
      <c r="A159" s="12">
        <v>46235</v>
      </c>
      <c r="B159" s="8" t="s">
        <v>67</v>
      </c>
      <c r="C159" s="13">
        <v>129311</v>
      </c>
      <c r="D159" s="14">
        <v>8.8699999999999992</v>
      </c>
      <c r="E159" s="15">
        <f t="shared" si="24"/>
        <v>1146.9885699999998</v>
      </c>
      <c r="F159" s="14">
        <v>4.54</v>
      </c>
      <c r="G159" s="15">
        <f t="shared" si="25"/>
        <v>587.07194000000004</v>
      </c>
      <c r="H159" s="15">
        <f t="shared" si="26"/>
        <v>559.91662999999971</v>
      </c>
      <c r="I159" s="16">
        <f t="shared" si="27"/>
        <v>0.48816234498308891</v>
      </c>
      <c r="J159" s="17">
        <v>79.900000000000006</v>
      </c>
      <c r="K159" s="17">
        <v>127.7</v>
      </c>
      <c r="L159" s="17">
        <v>92.8</v>
      </c>
      <c r="M159" s="15">
        <f t="shared" si="28"/>
        <v>259.51662999999974</v>
      </c>
      <c r="N159" s="16">
        <f t="shared" si="29"/>
        <v>0.22625912479668372</v>
      </c>
      <c r="O159" s="8" t="s">
        <v>98</v>
      </c>
      <c r="P159" s="1"/>
      <c r="Q159" s="1"/>
      <c r="R159" s="1"/>
      <c r="S159" s="1"/>
      <c r="T159" s="1"/>
      <c r="U159" s="1"/>
      <c r="V159" s="1"/>
      <c r="W159" s="1"/>
      <c r="X159" s="1"/>
      <c r="Y159" s="1"/>
      <c r="Z159" s="1"/>
    </row>
    <row r="160" spans="1:26">
      <c r="A160" s="12">
        <v>46235</v>
      </c>
      <c r="B160" s="8" t="s">
        <v>68</v>
      </c>
      <c r="C160" s="13">
        <v>104761</v>
      </c>
      <c r="D160" s="14">
        <v>10.8</v>
      </c>
      <c r="E160" s="15">
        <f t="shared" si="24"/>
        <v>1131.4188000000001</v>
      </c>
      <c r="F160" s="14">
        <v>6.02</v>
      </c>
      <c r="G160" s="15">
        <f t="shared" si="25"/>
        <v>630.66121999999996</v>
      </c>
      <c r="H160" s="15">
        <f t="shared" si="26"/>
        <v>500.75758000000019</v>
      </c>
      <c r="I160" s="16">
        <f t="shared" si="27"/>
        <v>0.4425925925925927</v>
      </c>
      <c r="J160" s="17">
        <v>66.3</v>
      </c>
      <c r="K160" s="17">
        <v>111.9</v>
      </c>
      <c r="L160" s="17">
        <v>76.900000000000006</v>
      </c>
      <c r="M160" s="15">
        <f t="shared" si="28"/>
        <v>245.65758000000014</v>
      </c>
      <c r="N160" s="16">
        <f t="shared" si="29"/>
        <v>0.21712347364212095</v>
      </c>
      <c r="O160" s="8" t="s">
        <v>98</v>
      </c>
      <c r="P160" s="1"/>
      <c r="Q160" s="1"/>
      <c r="R160" s="1"/>
      <c r="S160" s="1"/>
      <c r="T160" s="1"/>
      <c r="U160" s="1"/>
      <c r="V160" s="1"/>
      <c r="W160" s="1"/>
      <c r="X160" s="1"/>
      <c r="Y160" s="1"/>
      <c r="Z160" s="1"/>
    </row>
    <row r="161" spans="1:26">
      <c r="A161" s="12">
        <v>46235</v>
      </c>
      <c r="B161" s="8" t="s">
        <v>69</v>
      </c>
      <c r="C161" s="13">
        <v>83567</v>
      </c>
      <c r="D161" s="14">
        <v>15.63</v>
      </c>
      <c r="E161" s="15">
        <f t="shared" si="24"/>
        <v>1306.15221</v>
      </c>
      <c r="F161" s="14">
        <v>8.15</v>
      </c>
      <c r="G161" s="15">
        <f t="shared" si="25"/>
        <v>681.07105000000001</v>
      </c>
      <c r="H161" s="15">
        <f t="shared" si="26"/>
        <v>625.08115999999995</v>
      </c>
      <c r="I161" s="16">
        <f t="shared" si="27"/>
        <v>0.47856685860524628</v>
      </c>
      <c r="J161" s="17">
        <v>101.7</v>
      </c>
      <c r="K161" s="17">
        <v>101.7</v>
      </c>
      <c r="L161" s="17">
        <v>68.8</v>
      </c>
      <c r="M161" s="15">
        <f t="shared" si="28"/>
        <v>352.88115999999991</v>
      </c>
      <c r="N161" s="16">
        <f t="shared" si="29"/>
        <v>0.27016848212506561</v>
      </c>
      <c r="O161" s="8" t="s">
        <v>98</v>
      </c>
      <c r="P161" s="1"/>
      <c r="Q161" s="1"/>
      <c r="R161" s="1"/>
      <c r="S161" s="1"/>
      <c r="T161" s="1"/>
      <c r="U161" s="1"/>
      <c r="V161" s="1"/>
      <c r="W161" s="1"/>
      <c r="X161" s="1"/>
      <c r="Y161" s="1"/>
      <c r="Z161" s="1"/>
    </row>
    <row r="162" spans="1:26">
      <c r="A162" s="12">
        <v>46235</v>
      </c>
      <c r="B162" s="8" t="s">
        <v>70</v>
      </c>
      <c r="C162" s="13">
        <v>72348</v>
      </c>
      <c r="D162" s="14">
        <v>13.12</v>
      </c>
      <c r="E162" s="15">
        <f t="shared" si="24"/>
        <v>949.20575999999994</v>
      </c>
      <c r="F162" s="14">
        <v>6.87</v>
      </c>
      <c r="G162" s="15">
        <f t="shared" si="25"/>
        <v>497.03075999999999</v>
      </c>
      <c r="H162" s="15">
        <f t="shared" si="26"/>
        <v>452.17499999999995</v>
      </c>
      <c r="I162" s="16">
        <f t="shared" si="27"/>
        <v>0.4763719512195122</v>
      </c>
      <c r="J162" s="17">
        <v>93</v>
      </c>
      <c r="K162" s="17">
        <v>92.8</v>
      </c>
      <c r="L162" s="17">
        <v>66.7</v>
      </c>
      <c r="M162" s="15">
        <f t="shared" si="28"/>
        <v>199.67499999999995</v>
      </c>
      <c r="N162" s="16">
        <f t="shared" si="29"/>
        <v>0.21036008041080573</v>
      </c>
      <c r="O162" s="8" t="s">
        <v>98</v>
      </c>
      <c r="P162" s="1"/>
      <c r="Q162" s="1"/>
      <c r="R162" s="1"/>
      <c r="S162" s="1"/>
      <c r="T162" s="1"/>
      <c r="U162" s="1"/>
      <c r="V162" s="1"/>
      <c r="W162" s="1"/>
      <c r="X162" s="1"/>
      <c r="Y162" s="1"/>
      <c r="Z162" s="1"/>
    </row>
    <row r="163" spans="1:26">
      <c r="A163" s="12">
        <v>46235</v>
      </c>
      <c r="B163" s="8" t="s">
        <v>71</v>
      </c>
      <c r="C163" s="13">
        <v>55193</v>
      </c>
      <c r="D163" s="14">
        <v>20.61</v>
      </c>
      <c r="E163" s="15">
        <f t="shared" si="24"/>
        <v>1137.52773</v>
      </c>
      <c r="F163" s="14">
        <v>11.59</v>
      </c>
      <c r="G163" s="15">
        <f t="shared" si="25"/>
        <v>639.68687</v>
      </c>
      <c r="H163" s="15">
        <f t="shared" si="26"/>
        <v>497.84086000000002</v>
      </c>
      <c r="I163" s="16">
        <f t="shared" si="27"/>
        <v>0.43765162542455122</v>
      </c>
      <c r="J163" s="17">
        <v>77.8</v>
      </c>
      <c r="K163" s="17">
        <v>81.900000000000006</v>
      </c>
      <c r="L163" s="17">
        <v>62.8</v>
      </c>
      <c r="M163" s="15">
        <f t="shared" si="28"/>
        <v>275.34085999999996</v>
      </c>
      <c r="N163" s="16">
        <f t="shared" si="29"/>
        <v>0.24205199815216807</v>
      </c>
      <c r="O163" s="8" t="s">
        <v>98</v>
      </c>
      <c r="P163" s="1"/>
      <c r="Q163" s="1"/>
      <c r="R163" s="1"/>
      <c r="S163" s="1"/>
      <c r="T163" s="1"/>
      <c r="U163" s="1"/>
      <c r="V163" s="1"/>
      <c r="W163" s="1"/>
      <c r="X163" s="1"/>
      <c r="Y163" s="1"/>
      <c r="Z163" s="1"/>
    </row>
    <row r="164" spans="1:26">
      <c r="A164" s="12">
        <v>46266</v>
      </c>
      <c r="B164" s="8" t="s">
        <v>67</v>
      </c>
      <c r="C164" s="13">
        <v>130172</v>
      </c>
      <c r="D164" s="14">
        <v>8.85</v>
      </c>
      <c r="E164" s="15">
        <f t="shared" ref="E164:E168" si="30">C164*D164/1000</f>
        <v>1152.0221999999999</v>
      </c>
      <c r="F164" s="14">
        <v>4.6100000000000003</v>
      </c>
      <c r="G164" s="15">
        <f t="shared" ref="G164:G168" si="31">C164*F164/1000</f>
        <v>600.09292000000005</v>
      </c>
      <c r="H164" s="15">
        <f t="shared" ref="H164:H168" si="32">E164-G164</f>
        <v>551.92927999999984</v>
      </c>
      <c r="I164" s="16">
        <f t="shared" ref="I164:I168" si="33">IFERROR(H164/E164,0)</f>
        <v>0.47909604519774002</v>
      </c>
      <c r="J164" s="17">
        <v>91.2</v>
      </c>
      <c r="K164" s="17">
        <v>124.9</v>
      </c>
      <c r="L164" s="17">
        <v>88.2</v>
      </c>
      <c r="M164" s="15">
        <f t="shared" ref="M164:M168" si="34">H164-J164-K164-L164</f>
        <v>247.62927999999982</v>
      </c>
      <c r="N164" s="16">
        <f t="shared" ref="N164:N168" si="35">IFERROR(M164/E164,0)</f>
        <v>0.21495182992133299</v>
      </c>
      <c r="O164" s="8" t="s">
        <v>98</v>
      </c>
      <c r="P164" s="1"/>
      <c r="Q164" s="1"/>
      <c r="R164" s="1"/>
      <c r="S164" s="1"/>
      <c r="T164" s="1"/>
      <c r="U164" s="1"/>
      <c r="V164" s="1"/>
      <c r="W164" s="1"/>
      <c r="X164" s="1"/>
      <c r="Y164" s="1"/>
      <c r="Z164" s="1"/>
    </row>
    <row r="165" spans="1:26">
      <c r="A165" s="12">
        <v>46266</v>
      </c>
      <c r="B165" s="8" t="s">
        <v>68</v>
      </c>
      <c r="C165" s="13">
        <v>99079</v>
      </c>
      <c r="D165" s="14">
        <v>10.8</v>
      </c>
      <c r="E165" s="15">
        <f t="shared" si="30"/>
        <v>1070.0532000000003</v>
      </c>
      <c r="F165" s="14">
        <v>5.98</v>
      </c>
      <c r="G165" s="15">
        <f t="shared" si="31"/>
        <v>592.49242000000004</v>
      </c>
      <c r="H165" s="15">
        <f t="shared" si="32"/>
        <v>477.56078000000025</v>
      </c>
      <c r="I165" s="16">
        <f t="shared" si="33"/>
        <v>0.44629629629629641</v>
      </c>
      <c r="J165" s="17">
        <v>69.599999999999994</v>
      </c>
      <c r="K165" s="17">
        <v>108.6</v>
      </c>
      <c r="L165" s="17">
        <v>74.7</v>
      </c>
      <c r="M165" s="15">
        <f t="shared" si="34"/>
        <v>224.66078000000022</v>
      </c>
      <c r="N165" s="16">
        <f t="shared" si="35"/>
        <v>0.20995290701434299</v>
      </c>
      <c r="O165" s="8" t="s">
        <v>98</v>
      </c>
      <c r="P165" s="1"/>
      <c r="Q165" s="1"/>
      <c r="R165" s="1"/>
      <c r="S165" s="1"/>
      <c r="T165" s="1"/>
      <c r="U165" s="1"/>
      <c r="V165" s="1"/>
      <c r="W165" s="1"/>
      <c r="X165" s="1"/>
      <c r="Y165" s="1"/>
      <c r="Z165" s="1"/>
    </row>
    <row r="166" spans="1:26">
      <c r="A166" s="12">
        <v>46266</v>
      </c>
      <c r="B166" s="8" t="s">
        <v>69</v>
      </c>
      <c r="C166" s="13">
        <v>82026</v>
      </c>
      <c r="D166" s="14">
        <v>15.67</v>
      </c>
      <c r="E166" s="15">
        <f t="shared" si="30"/>
        <v>1285.3474199999998</v>
      </c>
      <c r="F166" s="14">
        <v>8.14</v>
      </c>
      <c r="G166" s="15">
        <f t="shared" si="31"/>
        <v>667.69164000000001</v>
      </c>
      <c r="H166" s="15">
        <f t="shared" si="32"/>
        <v>617.65577999999982</v>
      </c>
      <c r="I166" s="16">
        <f t="shared" si="33"/>
        <v>0.48053605615826411</v>
      </c>
      <c r="J166" s="17">
        <v>105.1</v>
      </c>
      <c r="K166" s="17">
        <v>97.6</v>
      </c>
      <c r="L166" s="17">
        <v>72.8</v>
      </c>
      <c r="M166" s="15">
        <f t="shared" si="34"/>
        <v>342.15577999999977</v>
      </c>
      <c r="N166" s="16">
        <f t="shared" si="35"/>
        <v>0.2661971189081313</v>
      </c>
      <c r="O166" s="8" t="s">
        <v>98</v>
      </c>
      <c r="P166" s="1"/>
      <c r="Q166" s="1"/>
      <c r="R166" s="1"/>
      <c r="S166" s="1"/>
      <c r="T166" s="1"/>
      <c r="U166" s="1"/>
      <c r="V166" s="1"/>
      <c r="W166" s="1"/>
      <c r="X166" s="1"/>
      <c r="Y166" s="1"/>
      <c r="Z166" s="1"/>
    </row>
    <row r="167" spans="1:26">
      <c r="A167" s="12">
        <v>46266</v>
      </c>
      <c r="B167" s="8" t="s">
        <v>70</v>
      </c>
      <c r="C167" s="13">
        <v>67745</v>
      </c>
      <c r="D167" s="14">
        <v>13.04</v>
      </c>
      <c r="E167" s="15">
        <f t="shared" si="30"/>
        <v>883.39479999999992</v>
      </c>
      <c r="F167" s="14">
        <v>6.77</v>
      </c>
      <c r="G167" s="15">
        <f t="shared" si="31"/>
        <v>458.63364999999999</v>
      </c>
      <c r="H167" s="15">
        <f t="shared" si="32"/>
        <v>424.76114999999993</v>
      </c>
      <c r="I167" s="16">
        <f t="shared" si="33"/>
        <v>0.48082822085889565</v>
      </c>
      <c r="J167" s="17">
        <v>85.4</v>
      </c>
      <c r="K167" s="17">
        <v>89.1</v>
      </c>
      <c r="L167" s="17">
        <v>65.099999999999994</v>
      </c>
      <c r="M167" s="15">
        <f t="shared" si="34"/>
        <v>185.16114999999996</v>
      </c>
      <c r="N167" s="16">
        <f t="shared" si="35"/>
        <v>0.20960181110416315</v>
      </c>
      <c r="O167" s="8" t="s">
        <v>98</v>
      </c>
      <c r="P167" s="1"/>
      <c r="Q167" s="1"/>
      <c r="R167" s="1"/>
      <c r="S167" s="1"/>
      <c r="T167" s="1"/>
      <c r="U167" s="1"/>
      <c r="V167" s="1"/>
      <c r="W167" s="1"/>
      <c r="X167" s="1"/>
      <c r="Y167" s="1"/>
      <c r="Z167" s="1"/>
    </row>
    <row r="168" spans="1:26">
      <c r="A168" s="12">
        <v>46266</v>
      </c>
      <c r="B168" s="8" t="s">
        <v>71</v>
      </c>
      <c r="C168" s="13">
        <v>55276</v>
      </c>
      <c r="D168" s="14">
        <v>20.59</v>
      </c>
      <c r="E168" s="15">
        <f t="shared" si="30"/>
        <v>1138.13284</v>
      </c>
      <c r="F168" s="14">
        <v>11.85</v>
      </c>
      <c r="G168" s="15">
        <f t="shared" si="31"/>
        <v>655.02059999999994</v>
      </c>
      <c r="H168" s="15">
        <f t="shared" si="32"/>
        <v>483.11224000000004</v>
      </c>
      <c r="I168" s="16">
        <f t="shared" si="33"/>
        <v>0.42447790189412338</v>
      </c>
      <c r="J168" s="17">
        <v>76.400000000000006</v>
      </c>
      <c r="K168" s="17">
        <v>83.1</v>
      </c>
      <c r="L168" s="17">
        <v>60.6</v>
      </c>
      <c r="M168" s="15">
        <f t="shared" si="34"/>
        <v>263.01224000000002</v>
      </c>
      <c r="N168" s="16">
        <f t="shared" si="35"/>
        <v>0.23109098582903559</v>
      </c>
      <c r="O168" s="8" t="s">
        <v>98</v>
      </c>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1">
    <mergeCell ref="A1:O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0"/>
  <sheetViews>
    <sheetView workbookViewId="0">
      <selection sqref="A1:P1"/>
    </sheetView>
  </sheetViews>
  <sheetFormatPr baseColWidth="10" defaultColWidth="8.83203125" defaultRowHeight="15"/>
  <cols>
    <col min="1" max="1" width="12" customWidth="1"/>
    <col min="2" max="2" width="22" customWidth="1"/>
    <col min="3" max="3" width="12" customWidth="1"/>
    <col min="4" max="4" width="13" customWidth="1"/>
    <col min="5" max="6" width="12" customWidth="1"/>
    <col min="7" max="7" width="14" customWidth="1"/>
    <col min="8" max="9" width="15" customWidth="1"/>
    <col min="10" max="10" width="14" customWidth="1"/>
    <col min="11" max="11" width="16" customWidth="1"/>
    <col min="12" max="12" width="10" customWidth="1"/>
    <col min="13" max="13" width="15" customWidth="1"/>
    <col min="14" max="14" width="14" customWidth="1"/>
    <col min="15" max="15" width="16" customWidth="1"/>
    <col min="16" max="16" width="15" customWidth="1"/>
  </cols>
  <sheetData>
    <row r="1" spans="1:26" ht="37.25" customHeight="1">
      <c r="A1" s="83" t="s">
        <v>99</v>
      </c>
      <c r="B1" s="83"/>
      <c r="C1" s="83"/>
      <c r="D1" s="83"/>
      <c r="E1" s="83"/>
      <c r="F1" s="83"/>
      <c r="G1" s="83"/>
      <c r="H1" s="83"/>
      <c r="I1" s="83"/>
      <c r="J1" s="83"/>
      <c r="K1" s="83"/>
      <c r="L1" s="83"/>
      <c r="M1" s="83"/>
      <c r="N1" s="83"/>
      <c r="O1" s="83"/>
      <c r="P1" s="83"/>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32">
      <c r="A3" s="7" t="s">
        <v>85</v>
      </c>
      <c r="B3" s="7" t="s">
        <v>60</v>
      </c>
      <c r="C3" s="7" t="s">
        <v>100</v>
      </c>
      <c r="D3" s="7" t="s">
        <v>101</v>
      </c>
      <c r="E3" s="7" t="s">
        <v>102</v>
      </c>
      <c r="F3" s="7" t="s">
        <v>103</v>
      </c>
      <c r="G3" s="7" t="s">
        <v>104</v>
      </c>
      <c r="H3" s="7" t="s">
        <v>105</v>
      </c>
      <c r="I3" s="7" t="s">
        <v>87</v>
      </c>
      <c r="J3" s="7" t="s">
        <v>89</v>
      </c>
      <c r="K3" s="7" t="s">
        <v>90</v>
      </c>
      <c r="L3" s="7" t="s">
        <v>91</v>
      </c>
      <c r="M3" s="7" t="s">
        <v>92</v>
      </c>
      <c r="N3" s="7" t="s">
        <v>93</v>
      </c>
      <c r="O3" s="7" t="s">
        <v>94</v>
      </c>
      <c r="P3" s="7" t="s">
        <v>95</v>
      </c>
      <c r="Q3" s="1"/>
      <c r="R3" s="1"/>
      <c r="S3" s="1"/>
      <c r="T3" s="1"/>
      <c r="U3" s="1"/>
      <c r="V3" s="1"/>
      <c r="W3" s="1"/>
      <c r="X3" s="1"/>
      <c r="Y3" s="1"/>
      <c r="Z3" s="1"/>
    </row>
    <row r="4" spans="1:26">
      <c r="A4" s="12">
        <v>46023</v>
      </c>
      <c r="B4" s="8" t="s">
        <v>67</v>
      </c>
      <c r="C4" s="18">
        <f>'Historical Actuals'!C64</f>
        <v>116513</v>
      </c>
      <c r="D4" s="18">
        <f>C4*(1+Assumptions!$B$20)</f>
        <v>122921.215</v>
      </c>
      <c r="E4" s="19">
        <f>'Historical Actuals'!D64</f>
        <v>8.59</v>
      </c>
      <c r="F4" s="19">
        <f>E4*(1+Assumptions!$C$20)</f>
        <v>8.8476999999999997</v>
      </c>
      <c r="G4" s="19">
        <f>'Historical Actuals'!F64</f>
        <v>4.42</v>
      </c>
      <c r="H4" s="19">
        <f>G4*(1+Assumptions!$D$20)</f>
        <v>4.5747</v>
      </c>
      <c r="I4" s="15">
        <f t="shared" ref="I4:I35" si="0">D4*F4/1000</f>
        <v>1087.5700339555001</v>
      </c>
      <c r="J4" s="15">
        <f t="shared" ref="J4:J35" si="1">D4*H4/1000</f>
        <v>562.32768226050007</v>
      </c>
      <c r="K4" s="15">
        <f t="shared" ref="K4:K35" si="2">I4-J4</f>
        <v>525.24235169500002</v>
      </c>
      <c r="L4" s="16">
        <f t="shared" ref="L4:L35" si="3">IFERROR(K4/I4,0)</f>
        <v>0.48295037128293228</v>
      </c>
      <c r="M4" s="20">
        <f>I4*Assumptions!$E$20</f>
        <v>79.392612478751502</v>
      </c>
      <c r="N4" s="20">
        <f>'Headcount &amp; Payroll'!B37</f>
        <v>213.95031250000002</v>
      </c>
      <c r="O4" s="20">
        <f>'Historical Actuals'!L64*(1+Assumptions!$G$20)</f>
        <v>90.459000000000003</v>
      </c>
      <c r="P4" s="15">
        <f t="shared" ref="P4:P35" si="4">K4-M4-N4-O4</f>
        <v>141.44042671624848</v>
      </c>
      <c r="Q4" s="1"/>
      <c r="R4" s="1"/>
      <c r="S4" s="1"/>
      <c r="T4" s="1"/>
      <c r="U4" s="1"/>
      <c r="V4" s="1"/>
      <c r="W4" s="1"/>
      <c r="X4" s="1"/>
      <c r="Y4" s="1"/>
      <c r="Z4" s="1"/>
    </row>
    <row r="5" spans="1:26">
      <c r="A5" s="12">
        <v>46023</v>
      </c>
      <c r="B5" s="8" t="s">
        <v>68</v>
      </c>
      <c r="C5" s="18">
        <f>'Historical Actuals'!C65</f>
        <v>89340</v>
      </c>
      <c r="D5" s="18">
        <f>C5*(1+Assumptions!$B$21)</f>
        <v>93092.28</v>
      </c>
      <c r="E5" s="19">
        <f>'Historical Actuals'!D65</f>
        <v>10.5</v>
      </c>
      <c r="F5" s="19">
        <f>E5*(1+Assumptions!$C$21)</f>
        <v>10.794</v>
      </c>
      <c r="G5" s="19">
        <f>'Historical Actuals'!F65</f>
        <v>5.69</v>
      </c>
      <c r="H5" s="19">
        <f>G5*(1+Assumptions!$D$21)</f>
        <v>5.9062200000000002</v>
      </c>
      <c r="I5" s="15">
        <f t="shared" si="0"/>
        <v>1004.83807032</v>
      </c>
      <c r="J5" s="15">
        <f t="shared" si="1"/>
        <v>549.82348598160002</v>
      </c>
      <c r="K5" s="15">
        <f t="shared" si="2"/>
        <v>455.01458433840003</v>
      </c>
      <c r="L5" s="16">
        <f t="shared" si="3"/>
        <v>0.45282379099499726</v>
      </c>
      <c r="M5" s="20">
        <f>I5*Assumptions!$E$21</f>
        <v>61.295122289520002</v>
      </c>
      <c r="N5" s="20">
        <f>'Headcount &amp; Payroll'!B38</f>
        <v>178.82988749999998</v>
      </c>
      <c r="O5" s="20">
        <f>'Historical Actuals'!L65*(1+Assumptions!$G$21)</f>
        <v>78.349499999999992</v>
      </c>
      <c r="P5" s="15">
        <f t="shared" si="4"/>
        <v>136.54007454888006</v>
      </c>
      <c r="Q5" s="1"/>
      <c r="R5" s="1"/>
      <c r="S5" s="1"/>
      <c r="T5" s="1"/>
      <c r="U5" s="1"/>
      <c r="V5" s="1"/>
      <c r="W5" s="1"/>
      <c r="X5" s="1"/>
      <c r="Y5" s="1"/>
      <c r="Z5" s="1"/>
    </row>
    <row r="6" spans="1:26">
      <c r="A6" s="12">
        <v>46023</v>
      </c>
      <c r="B6" s="8" t="s">
        <v>69</v>
      </c>
      <c r="C6" s="18">
        <f>'Historical Actuals'!C66</f>
        <v>71975</v>
      </c>
      <c r="D6" s="18">
        <f>C6*(1+Assumptions!$B$22)</f>
        <v>77733</v>
      </c>
      <c r="E6" s="19">
        <f>'Historical Actuals'!D66</f>
        <v>15.23</v>
      </c>
      <c r="F6" s="19">
        <f>E6*(1+Assumptions!$C$22)</f>
        <v>15.76305</v>
      </c>
      <c r="G6" s="19">
        <f>'Historical Actuals'!F66</f>
        <v>7.86</v>
      </c>
      <c r="H6" s="19">
        <f>G6*(1+Assumptions!$D$22)</f>
        <v>8.1901200000000003</v>
      </c>
      <c r="I6" s="15">
        <f t="shared" si="0"/>
        <v>1225.3091656500001</v>
      </c>
      <c r="J6" s="15">
        <f t="shared" si="1"/>
        <v>636.64259795999999</v>
      </c>
      <c r="K6" s="15">
        <f t="shared" si="2"/>
        <v>588.66656769000008</v>
      </c>
      <c r="L6" s="16">
        <f t="shared" si="3"/>
        <v>0.4804228877025703</v>
      </c>
      <c r="M6" s="20">
        <f>I6*Assumptions!$E$22</f>
        <v>104.15127908025001</v>
      </c>
      <c r="N6" s="20">
        <f>'Headcount &amp; Payroll'!B39</f>
        <v>164.60601666666668</v>
      </c>
      <c r="O6" s="20">
        <f>'Historical Actuals'!L66*(1+Assumptions!$G$22)</f>
        <v>70.2</v>
      </c>
      <c r="P6" s="15">
        <f t="shared" si="4"/>
        <v>249.70927194308342</v>
      </c>
      <c r="Q6" s="1"/>
      <c r="R6" s="1"/>
      <c r="S6" s="1"/>
      <c r="T6" s="1"/>
      <c r="U6" s="1"/>
      <c r="V6" s="1"/>
      <c r="W6" s="1"/>
      <c r="X6" s="1"/>
      <c r="Y6" s="1"/>
      <c r="Z6" s="1"/>
    </row>
    <row r="7" spans="1:26">
      <c r="A7" s="12">
        <v>46023</v>
      </c>
      <c r="B7" s="8" t="s">
        <v>70</v>
      </c>
      <c r="C7" s="18">
        <f>'Historical Actuals'!C67</f>
        <v>59518</v>
      </c>
      <c r="D7" s="18">
        <f>C7*(1+Assumptions!$B$23)</f>
        <v>63565.224000000002</v>
      </c>
      <c r="E7" s="19">
        <f>'Historical Actuals'!D67</f>
        <v>12.79</v>
      </c>
      <c r="F7" s="19">
        <f>E7*(1+Assumptions!$C$23)</f>
        <v>13.19928</v>
      </c>
      <c r="G7" s="19">
        <f>'Historical Actuals'!F67</f>
        <v>6.63</v>
      </c>
      <c r="H7" s="19">
        <f>G7*(1+Assumptions!$D$23)</f>
        <v>6.8952</v>
      </c>
      <c r="I7" s="15">
        <f t="shared" si="0"/>
        <v>839.01518983872006</v>
      </c>
      <c r="J7" s="15">
        <f t="shared" si="1"/>
        <v>438.2949325248</v>
      </c>
      <c r="K7" s="15">
        <f t="shared" si="2"/>
        <v>400.72025731392006</v>
      </c>
      <c r="L7" s="16">
        <f t="shared" si="3"/>
        <v>0.47760786952015566</v>
      </c>
      <c r="M7" s="20">
        <f>I7*Assumptions!$E$23</f>
        <v>77.189397465162244</v>
      </c>
      <c r="N7" s="20">
        <f>'Headcount &amp; Payroll'!B40</f>
        <v>140.07699583333331</v>
      </c>
      <c r="O7" s="20">
        <f>'Historical Actuals'!L67*(1+Assumptions!$G$23)</f>
        <v>65.207999999999998</v>
      </c>
      <c r="P7" s="15">
        <f t="shared" si="4"/>
        <v>118.2458640154245</v>
      </c>
      <c r="Q7" s="1"/>
      <c r="R7" s="1"/>
      <c r="S7" s="1"/>
      <c r="T7" s="1"/>
      <c r="U7" s="1"/>
      <c r="V7" s="1"/>
      <c r="W7" s="1"/>
      <c r="X7" s="1"/>
      <c r="Y7" s="1"/>
      <c r="Z7" s="1"/>
    </row>
    <row r="8" spans="1:26">
      <c r="A8" s="12">
        <v>46023</v>
      </c>
      <c r="B8" s="8" t="s">
        <v>71</v>
      </c>
      <c r="C8" s="18">
        <f>'Historical Actuals'!C68</f>
        <v>47394</v>
      </c>
      <c r="D8" s="18">
        <f>C8*(1+Assumptions!$B$24)</f>
        <v>49052.789999999994</v>
      </c>
      <c r="E8" s="19">
        <f>'Historical Actuals'!D68</f>
        <v>19.940000000000001</v>
      </c>
      <c r="F8" s="19">
        <f>E8*(1+Assumptions!$C$24)</f>
        <v>20.438500000000001</v>
      </c>
      <c r="G8" s="19">
        <f>'Historical Actuals'!F68</f>
        <v>11.21</v>
      </c>
      <c r="H8" s="19">
        <f>G8*(1+Assumptions!$D$24)</f>
        <v>11.714449999999999</v>
      </c>
      <c r="I8" s="15">
        <f t="shared" si="0"/>
        <v>1002.5654484149999</v>
      </c>
      <c r="J8" s="15">
        <f t="shared" si="1"/>
        <v>574.62645581549987</v>
      </c>
      <c r="K8" s="15">
        <f t="shared" si="2"/>
        <v>427.93899259950001</v>
      </c>
      <c r="L8" s="16">
        <f t="shared" si="3"/>
        <v>0.4268439464735671</v>
      </c>
      <c r="M8" s="20">
        <f>I8*Assumptions!$E$24</f>
        <v>67.171885043804991</v>
      </c>
      <c r="N8" s="20">
        <f>'Headcount &amp; Payroll'!B41</f>
        <v>118.89418749999999</v>
      </c>
      <c r="O8" s="20">
        <f>'Historical Actuals'!L68*(1+Assumptions!$G$24)</f>
        <v>63.535999999999994</v>
      </c>
      <c r="P8" s="15">
        <f t="shared" si="4"/>
        <v>178.33692005569503</v>
      </c>
      <c r="Q8" s="1"/>
      <c r="R8" s="1"/>
      <c r="S8" s="1"/>
      <c r="T8" s="1"/>
      <c r="U8" s="1"/>
      <c r="V8" s="1"/>
      <c r="W8" s="1"/>
      <c r="X8" s="1"/>
      <c r="Y8" s="1"/>
      <c r="Z8" s="1"/>
    </row>
    <row r="9" spans="1:26">
      <c r="A9" s="12">
        <v>46054</v>
      </c>
      <c r="B9" s="8" t="s">
        <v>67</v>
      </c>
      <c r="C9" s="18">
        <f>'Historical Actuals'!C69</f>
        <v>120448</v>
      </c>
      <c r="D9" s="18">
        <f>C9*(1+Assumptions!$B$20)</f>
        <v>127072.64</v>
      </c>
      <c r="E9" s="19">
        <f>'Historical Actuals'!D69</f>
        <v>8.6300000000000008</v>
      </c>
      <c r="F9" s="19">
        <f>E9*(1+Assumptions!$C$20)</f>
        <v>8.8889000000000014</v>
      </c>
      <c r="G9" s="19">
        <f>'Historical Actuals'!F69</f>
        <v>4.3899999999999997</v>
      </c>
      <c r="H9" s="19">
        <f>G9*(1+Assumptions!$D$20)</f>
        <v>4.5436499999999995</v>
      </c>
      <c r="I9" s="15">
        <f t="shared" si="0"/>
        <v>1129.5359896960003</v>
      </c>
      <c r="J9" s="15">
        <f t="shared" si="1"/>
        <v>577.37360073599996</v>
      </c>
      <c r="K9" s="15">
        <f t="shared" si="2"/>
        <v>552.16238896000038</v>
      </c>
      <c r="L9" s="16">
        <f t="shared" si="3"/>
        <v>0.48884001394998278</v>
      </c>
      <c r="M9" s="20">
        <f>I9*Assumptions!$E$20</f>
        <v>82.456127247808027</v>
      </c>
      <c r="N9" s="20">
        <f>'Headcount &amp; Payroll'!C37</f>
        <v>213.95031250000002</v>
      </c>
      <c r="O9" s="20">
        <f>'Historical Actuals'!L69*(1+Assumptions!$G$20)</f>
        <v>88.595999999999989</v>
      </c>
      <c r="P9" s="15">
        <f t="shared" si="4"/>
        <v>167.15994921219237</v>
      </c>
      <c r="Q9" s="1"/>
      <c r="R9" s="1"/>
      <c r="S9" s="1"/>
      <c r="T9" s="1"/>
      <c r="U9" s="1"/>
      <c r="V9" s="1"/>
      <c r="W9" s="1"/>
      <c r="X9" s="1"/>
      <c r="Y9" s="1"/>
      <c r="Z9" s="1"/>
    </row>
    <row r="10" spans="1:26">
      <c r="A10" s="12">
        <v>46054</v>
      </c>
      <c r="B10" s="8" t="s">
        <v>68</v>
      </c>
      <c r="C10" s="18">
        <f>'Historical Actuals'!C70</f>
        <v>92400</v>
      </c>
      <c r="D10" s="18">
        <f>C10*(1+Assumptions!$B$21)</f>
        <v>96280.8</v>
      </c>
      <c r="E10" s="19">
        <f>'Historical Actuals'!D70</f>
        <v>10.48</v>
      </c>
      <c r="F10" s="19">
        <f>E10*(1+Assumptions!$C$21)</f>
        <v>10.773440000000001</v>
      </c>
      <c r="G10" s="19">
        <f>'Historical Actuals'!F70</f>
        <v>5.78</v>
      </c>
      <c r="H10" s="19">
        <f>G10*(1+Assumptions!$D$21)</f>
        <v>5.9996400000000003</v>
      </c>
      <c r="I10" s="15">
        <f t="shared" si="0"/>
        <v>1037.2754219520002</v>
      </c>
      <c r="J10" s="15">
        <f t="shared" si="1"/>
        <v>577.65013891199999</v>
      </c>
      <c r="K10" s="15">
        <f t="shared" si="2"/>
        <v>459.62528304000023</v>
      </c>
      <c r="L10" s="16">
        <f t="shared" si="3"/>
        <v>0.44310823655211345</v>
      </c>
      <c r="M10" s="20">
        <f>I10*Assumptions!$E$21</f>
        <v>63.273800739072009</v>
      </c>
      <c r="N10" s="20">
        <f>'Headcount &amp; Payroll'!C38</f>
        <v>178.82988749999998</v>
      </c>
      <c r="O10" s="20">
        <f>'Historical Actuals'!L70*(1+Assumptions!$G$21)</f>
        <v>75.554999999999993</v>
      </c>
      <c r="P10" s="15">
        <f t="shared" si="4"/>
        <v>141.96659480092825</v>
      </c>
      <c r="Q10" s="1"/>
      <c r="R10" s="1"/>
      <c r="S10" s="1"/>
      <c r="T10" s="1"/>
      <c r="U10" s="1"/>
      <c r="V10" s="1"/>
      <c r="W10" s="1"/>
      <c r="X10" s="1"/>
      <c r="Y10" s="1"/>
      <c r="Z10" s="1"/>
    </row>
    <row r="11" spans="1:26">
      <c r="A11" s="12">
        <v>46054</v>
      </c>
      <c r="B11" s="8" t="s">
        <v>69</v>
      </c>
      <c r="C11" s="18">
        <f>'Historical Actuals'!C71</f>
        <v>72163</v>
      </c>
      <c r="D11" s="18">
        <f>C11*(1+Assumptions!$B$22)</f>
        <v>77936.040000000008</v>
      </c>
      <c r="E11" s="19">
        <f>'Historical Actuals'!D71</f>
        <v>15.28</v>
      </c>
      <c r="F11" s="19">
        <f>E11*(1+Assumptions!$C$22)</f>
        <v>15.814799999999998</v>
      </c>
      <c r="G11" s="19">
        <f>'Historical Actuals'!F71</f>
        <v>7.94</v>
      </c>
      <c r="H11" s="19">
        <f>G11*(1+Assumptions!$D$22)</f>
        <v>8.2734800000000011</v>
      </c>
      <c r="I11" s="15">
        <f t="shared" si="0"/>
        <v>1232.542885392</v>
      </c>
      <c r="J11" s="15">
        <f t="shared" si="1"/>
        <v>644.80226821920019</v>
      </c>
      <c r="K11" s="15">
        <f t="shared" si="2"/>
        <v>587.74061717279983</v>
      </c>
      <c r="L11" s="16">
        <f t="shared" si="3"/>
        <v>0.47685206262488289</v>
      </c>
      <c r="M11" s="20">
        <f>I11*Assumptions!$E$22</f>
        <v>104.76614525832001</v>
      </c>
      <c r="N11" s="20">
        <f>'Headcount &amp; Payroll'!C39</f>
        <v>164.60601666666668</v>
      </c>
      <c r="O11" s="20">
        <f>'Historical Actuals'!L71*(1+Assumptions!$G$22)</f>
        <v>71.13600000000001</v>
      </c>
      <c r="P11" s="15">
        <f t="shared" si="4"/>
        <v>247.23245524781311</v>
      </c>
      <c r="Q11" s="1"/>
      <c r="R11" s="1"/>
      <c r="S11" s="1"/>
      <c r="T11" s="1"/>
      <c r="U11" s="1"/>
      <c r="V11" s="1"/>
      <c r="W11" s="1"/>
      <c r="X11" s="1"/>
      <c r="Y11" s="1"/>
      <c r="Z11" s="1"/>
    </row>
    <row r="12" spans="1:26">
      <c r="A12" s="12">
        <v>46054</v>
      </c>
      <c r="B12" s="8" t="s">
        <v>70</v>
      </c>
      <c r="C12" s="18">
        <f>'Historical Actuals'!C72</f>
        <v>62174</v>
      </c>
      <c r="D12" s="18">
        <f>C12*(1+Assumptions!$B$23)</f>
        <v>66401.832000000009</v>
      </c>
      <c r="E12" s="19">
        <f>'Historical Actuals'!D72</f>
        <v>12.69</v>
      </c>
      <c r="F12" s="19">
        <f>E12*(1+Assumptions!$C$23)</f>
        <v>13.096080000000001</v>
      </c>
      <c r="G12" s="19">
        <f>'Historical Actuals'!F72</f>
        <v>6.64</v>
      </c>
      <c r="H12" s="19">
        <f>G12*(1+Assumptions!$D$23)</f>
        <v>6.9055999999999997</v>
      </c>
      <c r="I12" s="15">
        <f t="shared" si="0"/>
        <v>869.60370401856017</v>
      </c>
      <c r="J12" s="15">
        <f t="shared" si="1"/>
        <v>458.54449105920003</v>
      </c>
      <c r="K12" s="15">
        <f t="shared" si="2"/>
        <v>411.05921295936014</v>
      </c>
      <c r="L12" s="16">
        <f t="shared" si="3"/>
        <v>0.47269717350535434</v>
      </c>
      <c r="M12" s="20">
        <f>I12*Assumptions!$E$23</f>
        <v>80.003540769707527</v>
      </c>
      <c r="N12" s="20">
        <f>'Headcount &amp; Payroll'!C40</f>
        <v>140.07699583333331</v>
      </c>
      <c r="O12" s="20">
        <f>'Historical Actuals'!L72*(1+Assumptions!$G$23)</f>
        <v>64.376000000000005</v>
      </c>
      <c r="P12" s="15">
        <f t="shared" si="4"/>
        <v>126.60267635631931</v>
      </c>
      <c r="Q12" s="1"/>
      <c r="R12" s="1"/>
      <c r="S12" s="1"/>
      <c r="T12" s="1"/>
      <c r="U12" s="1"/>
      <c r="V12" s="1"/>
      <c r="W12" s="1"/>
      <c r="X12" s="1"/>
      <c r="Y12" s="1"/>
      <c r="Z12" s="1"/>
    </row>
    <row r="13" spans="1:26">
      <c r="A13" s="12">
        <v>46054</v>
      </c>
      <c r="B13" s="8" t="s">
        <v>71</v>
      </c>
      <c r="C13" s="18">
        <f>'Historical Actuals'!C73</f>
        <v>47720</v>
      </c>
      <c r="D13" s="18">
        <f>C13*(1+Assumptions!$B$24)</f>
        <v>49390.2</v>
      </c>
      <c r="E13" s="19">
        <f>'Historical Actuals'!D73</f>
        <v>19.850000000000001</v>
      </c>
      <c r="F13" s="19">
        <f>E13*(1+Assumptions!$C$24)</f>
        <v>20.346250000000001</v>
      </c>
      <c r="G13" s="19">
        <f>'Historical Actuals'!F73</f>
        <v>11.24</v>
      </c>
      <c r="H13" s="19">
        <f>G13*(1+Assumptions!$D$24)</f>
        <v>11.745799999999999</v>
      </c>
      <c r="I13" s="15">
        <f t="shared" si="0"/>
        <v>1004.90535675</v>
      </c>
      <c r="J13" s="15">
        <f t="shared" si="1"/>
        <v>580.12741115999995</v>
      </c>
      <c r="K13" s="15">
        <f t="shared" si="2"/>
        <v>424.77794559000006</v>
      </c>
      <c r="L13" s="16">
        <f t="shared" si="3"/>
        <v>0.42270442956318738</v>
      </c>
      <c r="M13" s="20">
        <f>I13*Assumptions!$E$24</f>
        <v>67.328658902249998</v>
      </c>
      <c r="N13" s="20">
        <f>'Headcount &amp; Payroll'!C41</f>
        <v>118.89418749999999</v>
      </c>
      <c r="O13" s="20">
        <f>'Historical Actuals'!L73*(1+Assumptions!$G$24)</f>
        <v>60.818999999999996</v>
      </c>
      <c r="P13" s="15">
        <f t="shared" si="4"/>
        <v>177.73609918775006</v>
      </c>
      <c r="Q13" s="1"/>
      <c r="R13" s="1"/>
      <c r="S13" s="1"/>
      <c r="T13" s="1"/>
      <c r="U13" s="1"/>
      <c r="V13" s="1"/>
      <c r="W13" s="1"/>
      <c r="X13" s="1"/>
      <c r="Y13" s="1"/>
      <c r="Z13" s="1"/>
    </row>
    <row r="14" spans="1:26">
      <c r="A14" s="12">
        <v>46082</v>
      </c>
      <c r="B14" s="8" t="s">
        <v>67</v>
      </c>
      <c r="C14" s="18">
        <f>'Historical Actuals'!C74</f>
        <v>121346</v>
      </c>
      <c r="D14" s="18">
        <f>C14*(1+Assumptions!$B$20)</f>
        <v>128020.03</v>
      </c>
      <c r="E14" s="19">
        <f>'Historical Actuals'!D74</f>
        <v>8.64</v>
      </c>
      <c r="F14" s="19">
        <f>E14*(1+Assumptions!$C$20)</f>
        <v>8.8992000000000004</v>
      </c>
      <c r="G14" s="19">
        <f>'Historical Actuals'!F74</f>
        <v>4.38</v>
      </c>
      <c r="H14" s="19">
        <f>G14*(1+Assumptions!$D$20)</f>
        <v>4.5332999999999997</v>
      </c>
      <c r="I14" s="15">
        <f t="shared" si="0"/>
        <v>1139.2758509760001</v>
      </c>
      <c r="J14" s="15">
        <f t="shared" si="1"/>
        <v>580.35320199899991</v>
      </c>
      <c r="K14" s="15">
        <f t="shared" si="2"/>
        <v>558.92264897700022</v>
      </c>
      <c r="L14" s="16">
        <f t="shared" si="3"/>
        <v>0.49059466019417491</v>
      </c>
      <c r="M14" s="20">
        <f>I14*Assumptions!$E$20</f>
        <v>83.167137121248004</v>
      </c>
      <c r="N14" s="20">
        <f>'Headcount &amp; Payroll'!D37</f>
        <v>223.26837916666668</v>
      </c>
      <c r="O14" s="20">
        <f>'Historical Actuals'!L74*(1+Assumptions!$G$20)</f>
        <v>88.388999999999996</v>
      </c>
      <c r="P14" s="15">
        <f t="shared" si="4"/>
        <v>164.09813268908556</v>
      </c>
      <c r="Q14" s="1"/>
      <c r="R14" s="1"/>
      <c r="S14" s="1"/>
      <c r="T14" s="1"/>
      <c r="U14" s="1"/>
      <c r="V14" s="1"/>
      <c r="W14" s="1"/>
      <c r="X14" s="1"/>
      <c r="Y14" s="1"/>
      <c r="Z14" s="1"/>
    </row>
    <row r="15" spans="1:26">
      <c r="A15" s="12">
        <v>46082</v>
      </c>
      <c r="B15" s="8" t="s">
        <v>68</v>
      </c>
      <c r="C15" s="18">
        <f>'Historical Actuals'!C75</f>
        <v>97823</v>
      </c>
      <c r="D15" s="18">
        <f>C15*(1+Assumptions!$B$21)</f>
        <v>101931.56600000001</v>
      </c>
      <c r="E15" s="19">
        <f>'Historical Actuals'!D75</f>
        <v>10.38</v>
      </c>
      <c r="F15" s="19">
        <f>E15*(1+Assumptions!$C$21)</f>
        <v>10.670640000000001</v>
      </c>
      <c r="G15" s="19">
        <f>'Historical Actuals'!F75</f>
        <v>5.8</v>
      </c>
      <c r="H15" s="19">
        <f>G15*(1+Assumptions!$D$21)</f>
        <v>6.0204000000000004</v>
      </c>
      <c r="I15" s="15">
        <f t="shared" si="0"/>
        <v>1087.6750454222401</v>
      </c>
      <c r="J15" s="15">
        <f t="shared" si="1"/>
        <v>613.6687999464001</v>
      </c>
      <c r="K15" s="15">
        <f t="shared" si="2"/>
        <v>474.00624547584005</v>
      </c>
      <c r="L15" s="16">
        <f t="shared" si="3"/>
        <v>0.43579766536964981</v>
      </c>
      <c r="M15" s="20">
        <f>I15*Assumptions!$E$21</f>
        <v>66.348177770756649</v>
      </c>
      <c r="N15" s="20">
        <f>'Headcount &amp; Payroll'!D38</f>
        <v>187.69389583333333</v>
      </c>
      <c r="O15" s="20">
        <f>'Historical Actuals'!L75*(1+Assumptions!$G$21)</f>
        <v>76.693499999999986</v>
      </c>
      <c r="P15" s="15">
        <f t="shared" si="4"/>
        <v>143.2706718717501</v>
      </c>
      <c r="Q15" s="1"/>
      <c r="R15" s="1"/>
      <c r="S15" s="1"/>
      <c r="T15" s="1"/>
      <c r="U15" s="1"/>
      <c r="V15" s="1"/>
      <c r="W15" s="1"/>
      <c r="X15" s="1"/>
      <c r="Y15" s="1"/>
      <c r="Z15" s="1"/>
    </row>
    <row r="16" spans="1:26">
      <c r="A16" s="12">
        <v>46082</v>
      </c>
      <c r="B16" s="8" t="s">
        <v>69</v>
      </c>
      <c r="C16" s="18">
        <f>'Historical Actuals'!C76</f>
        <v>73634</v>
      </c>
      <c r="D16" s="18">
        <f>C16*(1+Assumptions!$B$22)</f>
        <v>79524.72</v>
      </c>
      <c r="E16" s="19">
        <f>'Historical Actuals'!D76</f>
        <v>15.3</v>
      </c>
      <c r="F16" s="19">
        <f>E16*(1+Assumptions!$C$22)</f>
        <v>15.8355</v>
      </c>
      <c r="G16" s="19">
        <f>'Historical Actuals'!F76</f>
        <v>7.89</v>
      </c>
      <c r="H16" s="19">
        <f>G16*(1+Assumptions!$D$22)</f>
        <v>8.2213799999999999</v>
      </c>
      <c r="I16" s="15">
        <f t="shared" si="0"/>
        <v>1259.31370356</v>
      </c>
      <c r="J16" s="15">
        <f t="shared" si="1"/>
        <v>653.80294251359999</v>
      </c>
      <c r="K16" s="15">
        <f t="shared" si="2"/>
        <v>605.51076104640003</v>
      </c>
      <c r="L16" s="16">
        <f t="shared" si="3"/>
        <v>0.48082599223264189</v>
      </c>
      <c r="M16" s="20">
        <f>I16*Assumptions!$E$22</f>
        <v>107.04166480260001</v>
      </c>
      <c r="N16" s="20">
        <f>'Headcount &amp; Payroll'!D39</f>
        <v>177.23081249999998</v>
      </c>
      <c r="O16" s="20">
        <f>'Historical Actuals'!L76*(1+Assumptions!$G$22)</f>
        <v>72.8</v>
      </c>
      <c r="P16" s="15">
        <f t="shared" si="4"/>
        <v>248.43828374380001</v>
      </c>
      <c r="Q16" s="1"/>
      <c r="R16" s="1"/>
      <c r="S16" s="1"/>
      <c r="T16" s="1"/>
      <c r="U16" s="1"/>
      <c r="V16" s="1"/>
      <c r="W16" s="1"/>
      <c r="X16" s="1"/>
      <c r="Y16" s="1"/>
      <c r="Z16" s="1"/>
    </row>
    <row r="17" spans="1:26">
      <c r="A17" s="12">
        <v>46082</v>
      </c>
      <c r="B17" s="8" t="s">
        <v>70</v>
      </c>
      <c r="C17" s="18">
        <f>'Historical Actuals'!C77</f>
        <v>63999</v>
      </c>
      <c r="D17" s="18">
        <f>C17*(1+Assumptions!$B$23)</f>
        <v>68350.932000000001</v>
      </c>
      <c r="E17" s="19">
        <f>'Historical Actuals'!D77</f>
        <v>12.78</v>
      </c>
      <c r="F17" s="19">
        <f>E17*(1+Assumptions!$C$23)</f>
        <v>13.18896</v>
      </c>
      <c r="G17" s="19">
        <f>'Historical Actuals'!F77</f>
        <v>6.62</v>
      </c>
      <c r="H17" s="19">
        <f>G17*(1+Assumptions!$D$23)</f>
        <v>6.8848000000000003</v>
      </c>
      <c r="I17" s="15">
        <f t="shared" si="0"/>
        <v>901.47770811072007</v>
      </c>
      <c r="J17" s="15">
        <f t="shared" si="1"/>
        <v>470.58249663360004</v>
      </c>
      <c r="K17" s="15">
        <f t="shared" si="2"/>
        <v>430.89521147712003</v>
      </c>
      <c r="L17" s="16">
        <f t="shared" si="3"/>
        <v>0.47798765027720153</v>
      </c>
      <c r="M17" s="20">
        <f>I17*Assumptions!$E$23</f>
        <v>82.935949146186246</v>
      </c>
      <c r="N17" s="20">
        <f>'Headcount &amp; Payroll'!D40</f>
        <v>152.75114583333334</v>
      </c>
      <c r="O17" s="20">
        <f>'Historical Actuals'!L77*(1+Assumptions!$G$23)</f>
        <v>67.703999999999994</v>
      </c>
      <c r="P17" s="15">
        <f t="shared" si="4"/>
        <v>127.50411649760044</v>
      </c>
      <c r="Q17" s="1"/>
      <c r="R17" s="1"/>
      <c r="S17" s="1"/>
      <c r="T17" s="1"/>
      <c r="U17" s="1"/>
      <c r="V17" s="1"/>
      <c r="W17" s="1"/>
      <c r="X17" s="1"/>
      <c r="Y17" s="1"/>
      <c r="Z17" s="1"/>
    </row>
    <row r="18" spans="1:26">
      <c r="A18" s="12">
        <v>46082</v>
      </c>
      <c r="B18" s="8" t="s">
        <v>71</v>
      </c>
      <c r="C18" s="18">
        <f>'Historical Actuals'!C78</f>
        <v>52191</v>
      </c>
      <c r="D18" s="18">
        <f>C18*(1+Assumptions!$B$24)</f>
        <v>54017.684999999998</v>
      </c>
      <c r="E18" s="19">
        <f>'Historical Actuals'!D78</f>
        <v>20.04</v>
      </c>
      <c r="F18" s="19">
        <f>E18*(1+Assumptions!$C$24)</f>
        <v>20.540999999999997</v>
      </c>
      <c r="G18" s="19">
        <f>'Historical Actuals'!F78</f>
        <v>11.37</v>
      </c>
      <c r="H18" s="19">
        <f>G18*(1+Assumptions!$D$24)</f>
        <v>11.881649999999999</v>
      </c>
      <c r="I18" s="15">
        <f t="shared" si="0"/>
        <v>1109.5772675849998</v>
      </c>
      <c r="J18" s="15">
        <f t="shared" si="1"/>
        <v>641.81922698024982</v>
      </c>
      <c r="K18" s="15">
        <f t="shared" si="2"/>
        <v>467.75804060475002</v>
      </c>
      <c r="L18" s="16">
        <f t="shared" si="3"/>
        <v>0.42156418869577927</v>
      </c>
      <c r="M18" s="20">
        <f>I18*Assumptions!$E$24</f>
        <v>74.341676928195</v>
      </c>
      <c r="N18" s="20">
        <f>'Headcount &amp; Payroll'!D41</f>
        <v>127.77793749999999</v>
      </c>
      <c r="O18" s="20">
        <f>'Historical Actuals'!L78*(1+Assumptions!$G$24)</f>
        <v>62.908999999999999</v>
      </c>
      <c r="P18" s="15">
        <f t="shared" si="4"/>
        <v>202.72942617655502</v>
      </c>
      <c r="Q18" s="1"/>
      <c r="R18" s="1"/>
      <c r="S18" s="1"/>
      <c r="T18" s="1"/>
      <c r="U18" s="1"/>
      <c r="V18" s="1"/>
      <c r="W18" s="1"/>
      <c r="X18" s="1"/>
      <c r="Y18" s="1"/>
      <c r="Z18" s="1"/>
    </row>
    <row r="19" spans="1:26">
      <c r="A19" s="12">
        <v>46113</v>
      </c>
      <c r="B19" s="8" t="s">
        <v>67</v>
      </c>
      <c r="C19" s="18">
        <f>'Historical Actuals'!C79</f>
        <v>126739</v>
      </c>
      <c r="D19" s="18">
        <f>C19*(1+Assumptions!$B$20)</f>
        <v>133709.64499999999</v>
      </c>
      <c r="E19" s="19">
        <f>'Historical Actuals'!D79</f>
        <v>8.65</v>
      </c>
      <c r="F19" s="19">
        <f>E19*(1+Assumptions!$C$20)</f>
        <v>8.9095000000000013</v>
      </c>
      <c r="G19" s="19">
        <f>'Historical Actuals'!F79</f>
        <v>4.41</v>
      </c>
      <c r="H19" s="19">
        <f>G19*(1+Assumptions!$D$20)</f>
        <v>4.5643500000000001</v>
      </c>
      <c r="I19" s="15">
        <f t="shared" si="0"/>
        <v>1191.2860821275001</v>
      </c>
      <c r="J19" s="15">
        <f t="shared" si="1"/>
        <v>610.29761815575</v>
      </c>
      <c r="K19" s="15">
        <f t="shared" si="2"/>
        <v>580.98846397175009</v>
      </c>
      <c r="L19" s="16">
        <f t="shared" si="3"/>
        <v>0.48769852404736519</v>
      </c>
      <c r="M19" s="20">
        <f>I19*Assumptions!$E$20</f>
        <v>86.963883995307498</v>
      </c>
      <c r="N19" s="20">
        <f>'Headcount &amp; Payroll'!E37</f>
        <v>223.26837916666668</v>
      </c>
      <c r="O19" s="20">
        <f>'Historical Actuals'!L79*(1+Assumptions!$G$20)</f>
        <v>90.87299999999999</v>
      </c>
      <c r="P19" s="15">
        <f t="shared" si="4"/>
        <v>179.88320080977593</v>
      </c>
      <c r="Q19" s="1"/>
      <c r="R19" s="1"/>
      <c r="S19" s="1"/>
      <c r="T19" s="1"/>
      <c r="U19" s="1"/>
      <c r="V19" s="1"/>
      <c r="W19" s="1"/>
      <c r="X19" s="1"/>
      <c r="Y19" s="1"/>
      <c r="Z19" s="1"/>
    </row>
    <row r="20" spans="1:26">
      <c r="A20" s="12">
        <v>46113</v>
      </c>
      <c r="B20" s="8" t="s">
        <v>68</v>
      </c>
      <c r="C20" s="18">
        <f>'Historical Actuals'!C80</f>
        <v>99562</v>
      </c>
      <c r="D20" s="18">
        <f>C20*(1+Assumptions!$B$21)</f>
        <v>103743.60400000001</v>
      </c>
      <c r="E20" s="19">
        <f>'Historical Actuals'!D80</f>
        <v>10.47</v>
      </c>
      <c r="F20" s="19">
        <f>E20*(1+Assumptions!$C$21)</f>
        <v>10.763160000000001</v>
      </c>
      <c r="G20" s="19">
        <f>'Historical Actuals'!F80</f>
        <v>5.78</v>
      </c>
      <c r="H20" s="19">
        <f>G20*(1+Assumptions!$D$21)</f>
        <v>5.9996400000000003</v>
      </c>
      <c r="I20" s="15">
        <f t="shared" si="0"/>
        <v>1116.6090088286403</v>
      </c>
      <c r="J20" s="15">
        <f t="shared" si="1"/>
        <v>622.42427630256009</v>
      </c>
      <c r="K20" s="15">
        <f t="shared" si="2"/>
        <v>494.18473252608021</v>
      </c>
      <c r="L20" s="16">
        <f t="shared" si="3"/>
        <v>0.44257634375034849</v>
      </c>
      <c r="M20" s="20">
        <f>I20*Assumptions!$E$21</f>
        <v>68.113149538547063</v>
      </c>
      <c r="N20" s="20">
        <f>'Headcount &amp; Payroll'!E38</f>
        <v>187.69389583333333</v>
      </c>
      <c r="O20" s="20">
        <f>'Historical Actuals'!L80*(1+Assumptions!$G$21)</f>
        <v>75.968999999999994</v>
      </c>
      <c r="P20" s="15">
        <f t="shared" si="4"/>
        <v>162.40868715419981</v>
      </c>
      <c r="Q20" s="1"/>
      <c r="R20" s="1"/>
      <c r="S20" s="1"/>
      <c r="T20" s="1"/>
      <c r="U20" s="1"/>
      <c r="V20" s="1"/>
      <c r="W20" s="1"/>
      <c r="X20" s="1"/>
      <c r="Y20" s="1"/>
      <c r="Z20" s="1"/>
    </row>
    <row r="21" spans="1:26">
      <c r="A21" s="12">
        <v>46113</v>
      </c>
      <c r="B21" s="8" t="s">
        <v>69</v>
      </c>
      <c r="C21" s="18">
        <f>'Historical Actuals'!C81</f>
        <v>74888</v>
      </c>
      <c r="D21" s="18">
        <f>C21*(1+Assumptions!$B$22)</f>
        <v>80879.040000000008</v>
      </c>
      <c r="E21" s="19">
        <f>'Historical Actuals'!D81</f>
        <v>15.14</v>
      </c>
      <c r="F21" s="19">
        <f>E21*(1+Assumptions!$C$22)</f>
        <v>15.6699</v>
      </c>
      <c r="G21" s="19">
        <f>'Historical Actuals'!F81</f>
        <v>7.9</v>
      </c>
      <c r="H21" s="19">
        <f>G21*(1+Assumptions!$D$22)</f>
        <v>8.2317999999999998</v>
      </c>
      <c r="I21" s="15">
        <f t="shared" si="0"/>
        <v>1267.3664688960002</v>
      </c>
      <c r="J21" s="15">
        <f t="shared" si="1"/>
        <v>665.78008147200012</v>
      </c>
      <c r="K21" s="15">
        <f t="shared" si="2"/>
        <v>601.58638742400012</v>
      </c>
      <c r="L21" s="16">
        <f t="shared" si="3"/>
        <v>0.47467437571394838</v>
      </c>
      <c r="M21" s="20">
        <f>I21*Assumptions!$E$22</f>
        <v>107.72614985616003</v>
      </c>
      <c r="N21" s="20">
        <f>'Headcount &amp; Payroll'!E39</f>
        <v>177.23081249999998</v>
      </c>
      <c r="O21" s="20">
        <f>'Historical Actuals'!L81*(1+Assumptions!$G$22)</f>
        <v>71.968000000000004</v>
      </c>
      <c r="P21" s="15">
        <f t="shared" si="4"/>
        <v>244.66142506784007</v>
      </c>
      <c r="Q21" s="1"/>
      <c r="R21" s="1"/>
      <c r="S21" s="1"/>
      <c r="T21" s="1"/>
      <c r="U21" s="1"/>
      <c r="V21" s="1"/>
      <c r="W21" s="1"/>
      <c r="X21" s="1"/>
      <c r="Y21" s="1"/>
      <c r="Z21" s="1"/>
    </row>
    <row r="22" spans="1:26">
      <c r="A22" s="12">
        <v>46113</v>
      </c>
      <c r="B22" s="8" t="s">
        <v>70</v>
      </c>
      <c r="C22" s="18">
        <f>'Historical Actuals'!C82</f>
        <v>65780</v>
      </c>
      <c r="D22" s="18">
        <f>C22*(1+Assumptions!$B$23)</f>
        <v>70253.040000000008</v>
      </c>
      <c r="E22" s="19">
        <f>'Historical Actuals'!D82</f>
        <v>12.63</v>
      </c>
      <c r="F22" s="19">
        <f>E22*(1+Assumptions!$C$23)</f>
        <v>13.034160000000002</v>
      </c>
      <c r="G22" s="19">
        <f>'Historical Actuals'!F82</f>
        <v>6.58</v>
      </c>
      <c r="H22" s="19">
        <f>G22*(1+Assumptions!$D$23)</f>
        <v>6.8432000000000004</v>
      </c>
      <c r="I22" s="15">
        <f t="shared" si="0"/>
        <v>915.68936384640017</v>
      </c>
      <c r="J22" s="15">
        <f t="shared" si="1"/>
        <v>480.75560332800006</v>
      </c>
      <c r="K22" s="15">
        <f t="shared" si="2"/>
        <v>434.93376051840011</v>
      </c>
      <c r="L22" s="16">
        <f t="shared" si="3"/>
        <v>0.47497959208725382</v>
      </c>
      <c r="M22" s="20">
        <f>I22*Assumptions!$E$23</f>
        <v>84.243421473868821</v>
      </c>
      <c r="N22" s="20">
        <f>'Headcount &amp; Payroll'!E40</f>
        <v>152.75114583333334</v>
      </c>
      <c r="O22" s="20">
        <f>'Historical Actuals'!L82*(1+Assumptions!$G$23)</f>
        <v>64.272000000000006</v>
      </c>
      <c r="P22" s="15">
        <f t="shared" si="4"/>
        <v>133.66719321119797</v>
      </c>
      <c r="Q22" s="1"/>
      <c r="R22" s="1"/>
      <c r="S22" s="1"/>
      <c r="T22" s="1"/>
      <c r="U22" s="1"/>
      <c r="V22" s="1"/>
      <c r="W22" s="1"/>
      <c r="X22" s="1"/>
      <c r="Y22" s="1"/>
      <c r="Z22" s="1"/>
    </row>
    <row r="23" spans="1:26">
      <c r="A23" s="12">
        <v>46113</v>
      </c>
      <c r="B23" s="8" t="s">
        <v>71</v>
      </c>
      <c r="C23" s="18">
        <f>'Historical Actuals'!C83</f>
        <v>51025</v>
      </c>
      <c r="D23" s="18">
        <f>C23*(1+Assumptions!$B$24)</f>
        <v>52810.874999999993</v>
      </c>
      <c r="E23" s="19">
        <f>'Historical Actuals'!D83</f>
        <v>20.14</v>
      </c>
      <c r="F23" s="19">
        <f>E23*(1+Assumptions!$C$24)</f>
        <v>20.6435</v>
      </c>
      <c r="G23" s="19">
        <f>'Historical Actuals'!F83</f>
        <v>11.34</v>
      </c>
      <c r="H23" s="19">
        <f>G23*(1+Assumptions!$D$24)</f>
        <v>11.850299999999999</v>
      </c>
      <c r="I23" s="15">
        <f t="shared" si="0"/>
        <v>1090.2012980624997</v>
      </c>
      <c r="J23" s="15">
        <f t="shared" si="1"/>
        <v>625.82471201249984</v>
      </c>
      <c r="K23" s="15">
        <f t="shared" si="2"/>
        <v>464.3765860499999</v>
      </c>
      <c r="L23" s="16">
        <f t="shared" si="3"/>
        <v>0.42595490105844458</v>
      </c>
      <c r="M23" s="20">
        <f>I23*Assumptions!$E$24</f>
        <v>73.043486970187487</v>
      </c>
      <c r="N23" s="20">
        <f>'Headcount &amp; Payroll'!E41</f>
        <v>127.77793749999999</v>
      </c>
      <c r="O23" s="20">
        <f>'Historical Actuals'!L83*(1+Assumptions!$G$24)</f>
        <v>63.849499999999999</v>
      </c>
      <c r="P23" s="15">
        <f t="shared" si="4"/>
        <v>199.70566157981241</v>
      </c>
      <c r="Q23" s="1"/>
      <c r="R23" s="1"/>
      <c r="S23" s="1"/>
      <c r="T23" s="1"/>
      <c r="U23" s="1"/>
      <c r="V23" s="1"/>
      <c r="W23" s="1"/>
      <c r="X23" s="1"/>
      <c r="Y23" s="1"/>
      <c r="Z23" s="1"/>
    </row>
    <row r="24" spans="1:26">
      <c r="A24" s="12">
        <v>46143</v>
      </c>
      <c r="B24" s="8" t="s">
        <v>67</v>
      </c>
      <c r="C24" s="18">
        <f>'Historical Actuals'!C84</f>
        <v>125946</v>
      </c>
      <c r="D24" s="18">
        <f>C24*(1+Assumptions!$B$20)</f>
        <v>132873.03</v>
      </c>
      <c r="E24" s="19">
        <f>'Historical Actuals'!D84</f>
        <v>8.5500000000000007</v>
      </c>
      <c r="F24" s="19">
        <f>E24*(1+Assumptions!$C$20)</f>
        <v>8.8065000000000015</v>
      </c>
      <c r="G24" s="19">
        <f>'Historical Actuals'!F84</f>
        <v>4.4000000000000004</v>
      </c>
      <c r="H24" s="19">
        <f>G24*(1+Assumptions!$D$20)</f>
        <v>4.5540000000000003</v>
      </c>
      <c r="I24" s="15">
        <f t="shared" si="0"/>
        <v>1170.1463386950002</v>
      </c>
      <c r="J24" s="15">
        <f t="shared" si="1"/>
        <v>605.10377861999996</v>
      </c>
      <c r="K24" s="15">
        <f t="shared" si="2"/>
        <v>565.04256007500021</v>
      </c>
      <c r="L24" s="16">
        <f t="shared" si="3"/>
        <v>0.48288196218702106</v>
      </c>
      <c r="M24" s="20">
        <f>I24*Assumptions!$E$20</f>
        <v>85.420682724735002</v>
      </c>
      <c r="N24" s="20">
        <f>'Headcount &amp; Payroll'!F37</f>
        <v>223.26837916666668</v>
      </c>
      <c r="O24" s="20">
        <f>'Historical Actuals'!L84*(1+Assumptions!$G$20)</f>
        <v>92.839500000000001</v>
      </c>
      <c r="P24" s="15">
        <f t="shared" si="4"/>
        <v>163.51399818359852</v>
      </c>
      <c r="Q24" s="1"/>
      <c r="R24" s="1"/>
      <c r="S24" s="1"/>
      <c r="T24" s="1"/>
      <c r="U24" s="1"/>
      <c r="V24" s="1"/>
      <c r="W24" s="1"/>
      <c r="X24" s="1"/>
      <c r="Y24" s="1"/>
      <c r="Z24" s="1"/>
    </row>
    <row r="25" spans="1:26">
      <c r="A25" s="12">
        <v>46143</v>
      </c>
      <c r="B25" s="8" t="s">
        <v>68</v>
      </c>
      <c r="C25" s="18">
        <f>'Historical Actuals'!C85</f>
        <v>100105</v>
      </c>
      <c r="D25" s="18">
        <f>C25*(1+Assumptions!$B$21)</f>
        <v>104309.41</v>
      </c>
      <c r="E25" s="19">
        <f>'Historical Actuals'!D85</f>
        <v>10.51</v>
      </c>
      <c r="F25" s="19">
        <f>E25*(1+Assumptions!$C$21)</f>
        <v>10.80428</v>
      </c>
      <c r="G25" s="19">
        <f>'Historical Actuals'!F85</f>
        <v>5.77</v>
      </c>
      <c r="H25" s="19">
        <f>G25*(1+Assumptions!$D$21)</f>
        <v>5.9892599999999998</v>
      </c>
      <c r="I25" s="15">
        <f t="shared" si="0"/>
        <v>1126.9880722748001</v>
      </c>
      <c r="J25" s="15">
        <f t="shared" si="1"/>
        <v>624.73617693660003</v>
      </c>
      <c r="K25" s="15">
        <f t="shared" si="2"/>
        <v>502.25189533820003</v>
      </c>
      <c r="L25" s="16">
        <f t="shared" si="3"/>
        <v>0.44565857234355272</v>
      </c>
      <c r="M25" s="20">
        <f>I25*Assumptions!$E$21</f>
        <v>68.746272408762806</v>
      </c>
      <c r="N25" s="20">
        <f>'Headcount &amp; Payroll'!F38</f>
        <v>187.69389583333333</v>
      </c>
      <c r="O25" s="20">
        <f>'Historical Actuals'!L85*(1+Assumptions!$G$21)</f>
        <v>75.658499999999989</v>
      </c>
      <c r="P25" s="15">
        <f t="shared" si="4"/>
        <v>170.15322709610388</v>
      </c>
      <c r="Q25" s="1"/>
      <c r="R25" s="1"/>
      <c r="S25" s="1"/>
      <c r="T25" s="1"/>
      <c r="U25" s="1"/>
      <c r="V25" s="1"/>
      <c r="W25" s="1"/>
      <c r="X25" s="1"/>
      <c r="Y25" s="1"/>
      <c r="Z25" s="1"/>
    </row>
    <row r="26" spans="1:26">
      <c r="A26" s="12">
        <v>46143</v>
      </c>
      <c r="B26" s="8" t="s">
        <v>69</v>
      </c>
      <c r="C26" s="18">
        <f>'Historical Actuals'!C86</f>
        <v>78035</v>
      </c>
      <c r="D26" s="18">
        <f>C26*(1+Assumptions!$B$22)</f>
        <v>84277.8</v>
      </c>
      <c r="E26" s="19">
        <f>'Historical Actuals'!D86</f>
        <v>15.07</v>
      </c>
      <c r="F26" s="19">
        <f>E26*(1+Assumptions!$C$22)</f>
        <v>15.597449999999998</v>
      </c>
      <c r="G26" s="19">
        <f>'Historical Actuals'!F86</f>
        <v>7.86</v>
      </c>
      <c r="H26" s="19">
        <f>G26*(1+Assumptions!$D$22)</f>
        <v>8.1901200000000003</v>
      </c>
      <c r="I26" s="15">
        <f t="shared" si="0"/>
        <v>1314.5187716099999</v>
      </c>
      <c r="J26" s="15">
        <f t="shared" si="1"/>
        <v>690.24529533600003</v>
      </c>
      <c r="K26" s="15">
        <f t="shared" si="2"/>
        <v>624.2734762739999</v>
      </c>
      <c r="L26" s="16">
        <f t="shared" si="3"/>
        <v>0.47490647509689077</v>
      </c>
      <c r="M26" s="20">
        <f>I26*Assumptions!$E$22</f>
        <v>111.73409558685</v>
      </c>
      <c r="N26" s="20">
        <f>'Headcount &amp; Payroll'!F39</f>
        <v>177.23081249999998</v>
      </c>
      <c r="O26" s="20">
        <f>'Historical Actuals'!L86*(1+Assumptions!$G$22)</f>
        <v>69.368000000000009</v>
      </c>
      <c r="P26" s="15">
        <f t="shared" si="4"/>
        <v>265.94056818714995</v>
      </c>
      <c r="Q26" s="1"/>
      <c r="R26" s="1"/>
      <c r="S26" s="1"/>
      <c r="T26" s="1"/>
      <c r="U26" s="1"/>
      <c r="V26" s="1"/>
      <c r="W26" s="1"/>
      <c r="X26" s="1"/>
      <c r="Y26" s="1"/>
      <c r="Z26" s="1"/>
    </row>
    <row r="27" spans="1:26">
      <c r="A27" s="12">
        <v>46143</v>
      </c>
      <c r="B27" s="8" t="s">
        <v>70</v>
      </c>
      <c r="C27" s="18">
        <f>'Historical Actuals'!C87</f>
        <v>66636</v>
      </c>
      <c r="D27" s="18">
        <f>C27*(1+Assumptions!$B$23)</f>
        <v>71167.248000000007</v>
      </c>
      <c r="E27" s="19">
        <f>'Historical Actuals'!D87</f>
        <v>12.65</v>
      </c>
      <c r="F27" s="19">
        <f>E27*(1+Assumptions!$C$23)</f>
        <v>13.0548</v>
      </c>
      <c r="G27" s="19">
        <f>'Historical Actuals'!F87</f>
        <v>6.61</v>
      </c>
      <c r="H27" s="19">
        <f>G27*(1+Assumptions!$D$23)</f>
        <v>6.8744000000000005</v>
      </c>
      <c r="I27" s="15">
        <f t="shared" si="0"/>
        <v>929.07418919040003</v>
      </c>
      <c r="J27" s="15">
        <f t="shared" si="1"/>
        <v>489.23212965120007</v>
      </c>
      <c r="K27" s="15">
        <f t="shared" si="2"/>
        <v>439.84205953919997</v>
      </c>
      <c r="L27" s="16">
        <f t="shared" si="3"/>
        <v>0.47341973833379286</v>
      </c>
      <c r="M27" s="20">
        <f>I27*Assumptions!$E$23</f>
        <v>85.474825405516796</v>
      </c>
      <c r="N27" s="20">
        <f>'Headcount &amp; Payroll'!F40</f>
        <v>152.75114583333334</v>
      </c>
      <c r="O27" s="20">
        <f>'Historical Actuals'!L87*(1+Assumptions!$G$23)</f>
        <v>65.936000000000007</v>
      </c>
      <c r="P27" s="15">
        <f t="shared" si="4"/>
        <v>135.68008830034981</v>
      </c>
      <c r="Q27" s="1"/>
      <c r="R27" s="1"/>
      <c r="S27" s="1"/>
      <c r="T27" s="1"/>
      <c r="U27" s="1"/>
      <c r="V27" s="1"/>
      <c r="W27" s="1"/>
      <c r="X27" s="1"/>
      <c r="Y27" s="1"/>
      <c r="Z27" s="1"/>
    </row>
    <row r="28" spans="1:26">
      <c r="A28" s="12">
        <v>46143</v>
      </c>
      <c r="B28" s="8" t="s">
        <v>71</v>
      </c>
      <c r="C28" s="18">
        <f>'Historical Actuals'!C88</f>
        <v>51102</v>
      </c>
      <c r="D28" s="18">
        <f>C28*(1+Assumptions!$B$24)</f>
        <v>52890.569999999992</v>
      </c>
      <c r="E28" s="19">
        <f>'Historical Actuals'!D88</f>
        <v>20.05</v>
      </c>
      <c r="F28" s="19">
        <f>E28*(1+Assumptions!$C$24)</f>
        <v>20.55125</v>
      </c>
      <c r="G28" s="19">
        <f>'Historical Actuals'!F88</f>
        <v>11.22</v>
      </c>
      <c r="H28" s="19">
        <f>G28*(1+Assumptions!$D$24)</f>
        <v>11.7249</v>
      </c>
      <c r="I28" s="15">
        <f t="shared" si="0"/>
        <v>1086.9673267124999</v>
      </c>
      <c r="J28" s="15">
        <f t="shared" si="1"/>
        <v>620.13664419299994</v>
      </c>
      <c r="K28" s="15">
        <f t="shared" si="2"/>
        <v>466.83068251949999</v>
      </c>
      <c r="L28" s="16">
        <f t="shared" si="3"/>
        <v>0.42947995863998539</v>
      </c>
      <c r="M28" s="20">
        <f>I28*Assumptions!$E$24</f>
        <v>72.826810889737501</v>
      </c>
      <c r="N28" s="20">
        <f>'Headcount &amp; Payroll'!F41</f>
        <v>127.77793749999999</v>
      </c>
      <c r="O28" s="20">
        <f>'Historical Actuals'!L88*(1+Assumptions!$G$24)</f>
        <v>62.177499999999995</v>
      </c>
      <c r="P28" s="15">
        <f t="shared" si="4"/>
        <v>204.04843412976248</v>
      </c>
      <c r="Q28" s="1"/>
      <c r="R28" s="1"/>
      <c r="S28" s="1"/>
      <c r="T28" s="1"/>
      <c r="U28" s="1"/>
      <c r="V28" s="1"/>
      <c r="W28" s="1"/>
      <c r="X28" s="1"/>
      <c r="Y28" s="1"/>
      <c r="Z28" s="1"/>
    </row>
    <row r="29" spans="1:26">
      <c r="A29" s="12">
        <v>46174</v>
      </c>
      <c r="B29" s="8" t="s">
        <v>67</v>
      </c>
      <c r="C29" s="18">
        <f>'Historical Actuals'!C89</f>
        <v>126862</v>
      </c>
      <c r="D29" s="18">
        <f>C29*(1+Assumptions!$B$20)</f>
        <v>133839.41</v>
      </c>
      <c r="E29" s="19">
        <f>'Historical Actuals'!D89</f>
        <v>8.59</v>
      </c>
      <c r="F29" s="19">
        <f>E29*(1+Assumptions!$C$20)</f>
        <v>8.8476999999999997</v>
      </c>
      <c r="G29" s="19">
        <f>'Historical Actuals'!F89</f>
        <v>4.4400000000000004</v>
      </c>
      <c r="H29" s="19">
        <f>G29*(1+Assumptions!$D$20)</f>
        <v>4.5953999999999997</v>
      </c>
      <c r="I29" s="15">
        <f t="shared" si="0"/>
        <v>1184.1709478569999</v>
      </c>
      <c r="J29" s="15">
        <f t="shared" si="1"/>
        <v>615.04562471400004</v>
      </c>
      <c r="K29" s="15">
        <f t="shared" si="2"/>
        <v>569.12532314299983</v>
      </c>
      <c r="L29" s="16">
        <f t="shared" si="3"/>
        <v>0.48061078020276449</v>
      </c>
      <c r="M29" s="20">
        <f>I29*Assumptions!$E$20</f>
        <v>86.44447919356098</v>
      </c>
      <c r="N29" s="20">
        <f>'Headcount &amp; Payroll'!G37</f>
        <v>215.50003333333333</v>
      </c>
      <c r="O29" s="20">
        <f>'Historical Actuals'!L89*(1+Assumptions!$G$20)</f>
        <v>92.114999999999995</v>
      </c>
      <c r="P29" s="15">
        <f t="shared" si="4"/>
        <v>175.06581061610552</v>
      </c>
      <c r="Q29" s="1"/>
      <c r="R29" s="1"/>
      <c r="S29" s="1"/>
      <c r="T29" s="1"/>
      <c r="U29" s="1"/>
      <c r="V29" s="1"/>
      <c r="W29" s="1"/>
      <c r="X29" s="1"/>
      <c r="Y29" s="1"/>
      <c r="Z29" s="1"/>
    </row>
    <row r="30" spans="1:26">
      <c r="A30" s="12">
        <v>46174</v>
      </c>
      <c r="B30" s="8" t="s">
        <v>68</v>
      </c>
      <c r="C30" s="18">
        <f>'Historical Actuals'!C90</f>
        <v>100850</v>
      </c>
      <c r="D30" s="18">
        <f>C30*(1+Assumptions!$B$21)</f>
        <v>105085.7</v>
      </c>
      <c r="E30" s="19">
        <f>'Historical Actuals'!D90</f>
        <v>10.4</v>
      </c>
      <c r="F30" s="19">
        <f>E30*(1+Assumptions!$C$21)</f>
        <v>10.6912</v>
      </c>
      <c r="G30" s="19">
        <f>'Historical Actuals'!F90</f>
        <v>5.69</v>
      </c>
      <c r="H30" s="19">
        <f>G30*(1+Assumptions!$D$21)</f>
        <v>5.9062200000000002</v>
      </c>
      <c r="I30" s="15">
        <f t="shared" si="0"/>
        <v>1123.4922358399999</v>
      </c>
      <c r="J30" s="15">
        <f t="shared" si="1"/>
        <v>620.65926305400001</v>
      </c>
      <c r="K30" s="15">
        <f t="shared" si="2"/>
        <v>502.83297278599991</v>
      </c>
      <c r="L30" s="16">
        <f t="shared" si="3"/>
        <v>0.447562481293026</v>
      </c>
      <c r="M30" s="20">
        <f>I30*Assumptions!$E$21</f>
        <v>68.533026386239996</v>
      </c>
      <c r="N30" s="20">
        <f>'Headcount &amp; Payroll'!G38</f>
        <v>180.19206249999999</v>
      </c>
      <c r="O30" s="20">
        <f>'Historical Actuals'!L90*(1+Assumptions!$G$21)</f>
        <v>76.279499999999999</v>
      </c>
      <c r="P30" s="15">
        <f t="shared" si="4"/>
        <v>177.8283838997599</v>
      </c>
      <c r="Q30" s="1"/>
      <c r="R30" s="1"/>
      <c r="S30" s="1"/>
      <c r="T30" s="1"/>
      <c r="U30" s="1"/>
      <c r="V30" s="1"/>
      <c r="W30" s="1"/>
      <c r="X30" s="1"/>
      <c r="Y30" s="1"/>
      <c r="Z30" s="1"/>
    </row>
    <row r="31" spans="1:26">
      <c r="A31" s="12">
        <v>46174</v>
      </c>
      <c r="B31" s="8" t="s">
        <v>69</v>
      </c>
      <c r="C31" s="18">
        <f>'Historical Actuals'!C91</f>
        <v>80749</v>
      </c>
      <c r="D31" s="18">
        <f>C31*(1+Assumptions!$B$22)</f>
        <v>87208.920000000013</v>
      </c>
      <c r="E31" s="19">
        <f>'Historical Actuals'!D91</f>
        <v>15.25</v>
      </c>
      <c r="F31" s="19">
        <f>E31*(1+Assumptions!$C$22)</f>
        <v>15.78375</v>
      </c>
      <c r="G31" s="19">
        <f>'Historical Actuals'!F91</f>
        <v>7.92</v>
      </c>
      <c r="H31" s="19">
        <f>G31*(1+Assumptions!$D$22)</f>
        <v>8.2526399999999995</v>
      </c>
      <c r="I31" s="15">
        <f t="shared" si="0"/>
        <v>1376.48379105</v>
      </c>
      <c r="J31" s="15">
        <f t="shared" si="1"/>
        <v>719.70382154880008</v>
      </c>
      <c r="K31" s="15">
        <f t="shared" si="2"/>
        <v>656.77996950119996</v>
      </c>
      <c r="L31" s="16">
        <f t="shared" si="3"/>
        <v>0.47714326443335703</v>
      </c>
      <c r="M31" s="20">
        <f>I31*Assumptions!$E$22</f>
        <v>117.00112223925001</v>
      </c>
      <c r="N31" s="20">
        <f>'Headcount &amp; Payroll'!G39</f>
        <v>169.6500125</v>
      </c>
      <c r="O31" s="20">
        <f>'Historical Actuals'!L91*(1+Assumptions!$G$22)</f>
        <v>69.576000000000008</v>
      </c>
      <c r="P31" s="15">
        <f t="shared" si="4"/>
        <v>300.55283476194995</v>
      </c>
      <c r="Q31" s="1"/>
      <c r="R31" s="1"/>
      <c r="S31" s="1"/>
      <c r="T31" s="1"/>
      <c r="U31" s="1"/>
      <c r="V31" s="1"/>
      <c r="W31" s="1"/>
      <c r="X31" s="1"/>
      <c r="Y31" s="1"/>
      <c r="Z31" s="1"/>
    </row>
    <row r="32" spans="1:26">
      <c r="A32" s="12">
        <v>46174</v>
      </c>
      <c r="B32" s="8" t="s">
        <v>70</v>
      </c>
      <c r="C32" s="18">
        <f>'Historical Actuals'!C92</f>
        <v>65799</v>
      </c>
      <c r="D32" s="18">
        <f>C32*(1+Assumptions!$B$23)</f>
        <v>70273.332000000009</v>
      </c>
      <c r="E32" s="19">
        <f>'Historical Actuals'!D92</f>
        <v>12.65</v>
      </c>
      <c r="F32" s="19">
        <f>E32*(1+Assumptions!$C$23)</f>
        <v>13.0548</v>
      </c>
      <c r="G32" s="19">
        <f>'Historical Actuals'!F92</f>
        <v>6.53</v>
      </c>
      <c r="H32" s="19">
        <f>G32*(1+Assumptions!$D$23)</f>
        <v>6.7912000000000008</v>
      </c>
      <c r="I32" s="15">
        <f t="shared" si="0"/>
        <v>917.40429459360007</v>
      </c>
      <c r="J32" s="15">
        <f t="shared" si="1"/>
        <v>477.24025227840013</v>
      </c>
      <c r="K32" s="15">
        <f t="shared" si="2"/>
        <v>440.16404231519994</v>
      </c>
      <c r="L32" s="16">
        <f t="shared" si="3"/>
        <v>0.47979287311946556</v>
      </c>
      <c r="M32" s="20">
        <f>I32*Assumptions!$E$23</f>
        <v>84.401195102611211</v>
      </c>
      <c r="N32" s="20">
        <f>'Headcount &amp; Payroll'!G40</f>
        <v>149.00022916666666</v>
      </c>
      <c r="O32" s="20">
        <f>'Historical Actuals'!L92*(1+Assumptions!$G$23)</f>
        <v>64.376000000000005</v>
      </c>
      <c r="P32" s="15">
        <f t="shared" si="4"/>
        <v>142.38661804592206</v>
      </c>
      <c r="Q32" s="1"/>
      <c r="R32" s="1"/>
      <c r="S32" s="1"/>
      <c r="T32" s="1"/>
      <c r="U32" s="1"/>
      <c r="V32" s="1"/>
      <c r="W32" s="1"/>
      <c r="X32" s="1"/>
      <c r="Y32" s="1"/>
      <c r="Z32" s="1"/>
    </row>
    <row r="33" spans="1:26">
      <c r="A33" s="12">
        <v>46174</v>
      </c>
      <c r="B33" s="8" t="s">
        <v>71</v>
      </c>
      <c r="C33" s="18">
        <f>'Historical Actuals'!C93</f>
        <v>54630</v>
      </c>
      <c r="D33" s="18">
        <f>C33*(1+Assumptions!$B$24)</f>
        <v>56542.049999999996</v>
      </c>
      <c r="E33" s="19">
        <f>'Historical Actuals'!D93</f>
        <v>20.09</v>
      </c>
      <c r="F33" s="19">
        <f>E33*(1+Assumptions!$C$24)</f>
        <v>20.592249999999996</v>
      </c>
      <c r="G33" s="19">
        <f>'Historical Actuals'!F93</f>
        <v>11.22</v>
      </c>
      <c r="H33" s="19">
        <f>G33*(1+Assumptions!$D$24)</f>
        <v>11.7249</v>
      </c>
      <c r="I33" s="15">
        <f t="shared" si="0"/>
        <v>1164.3280291124997</v>
      </c>
      <c r="J33" s="15">
        <f t="shared" si="1"/>
        <v>662.94988204499998</v>
      </c>
      <c r="K33" s="15">
        <f t="shared" si="2"/>
        <v>501.37814706749975</v>
      </c>
      <c r="L33" s="16">
        <f t="shared" si="3"/>
        <v>0.43061588704488329</v>
      </c>
      <c r="M33" s="20">
        <f>I33*Assumptions!$E$24</f>
        <v>78.00997795053749</v>
      </c>
      <c r="N33" s="20">
        <f>'Headcount &amp; Payroll'!G41</f>
        <v>127.77793749999999</v>
      </c>
      <c r="O33" s="20">
        <f>'Historical Actuals'!L93*(1+Assumptions!$G$24)</f>
        <v>61.027999999999992</v>
      </c>
      <c r="P33" s="15">
        <f t="shared" si="4"/>
        <v>234.56223161696224</v>
      </c>
      <c r="Q33" s="1"/>
      <c r="R33" s="1"/>
      <c r="S33" s="1"/>
      <c r="T33" s="1"/>
      <c r="U33" s="1"/>
      <c r="V33" s="1"/>
      <c r="W33" s="1"/>
      <c r="X33" s="1"/>
      <c r="Y33" s="1"/>
      <c r="Z33" s="1"/>
    </row>
    <row r="34" spans="1:26">
      <c r="A34" s="12">
        <v>46204</v>
      </c>
      <c r="B34" s="8" t="s">
        <v>67</v>
      </c>
      <c r="C34" s="18">
        <f>'Historical Actuals'!C94</f>
        <v>133630</v>
      </c>
      <c r="D34" s="18">
        <f>C34*(1+Assumptions!$B$20)</f>
        <v>140979.65</v>
      </c>
      <c r="E34" s="19">
        <f>'Historical Actuals'!D94</f>
        <v>8.68</v>
      </c>
      <c r="F34" s="19">
        <f>E34*(1+Assumptions!$C$20)</f>
        <v>8.9404000000000003</v>
      </c>
      <c r="G34" s="19">
        <f>'Historical Actuals'!F94</f>
        <v>4.37</v>
      </c>
      <c r="H34" s="19">
        <f>G34*(1+Assumptions!$D$20)</f>
        <v>4.5229499999999998</v>
      </c>
      <c r="I34" s="15">
        <f t="shared" si="0"/>
        <v>1260.4144628600002</v>
      </c>
      <c r="J34" s="15">
        <f t="shared" si="1"/>
        <v>637.6439079674999</v>
      </c>
      <c r="K34" s="15">
        <f t="shared" si="2"/>
        <v>622.77055489250029</v>
      </c>
      <c r="L34" s="16">
        <f t="shared" si="3"/>
        <v>0.49409981656301749</v>
      </c>
      <c r="M34" s="20">
        <f>I34*Assumptions!$E$20</f>
        <v>92.010255788780015</v>
      </c>
      <c r="N34" s="20">
        <f>'Headcount &amp; Payroll'!H37</f>
        <v>215.50003333333333</v>
      </c>
      <c r="O34" s="20">
        <f>'Historical Actuals'!L94*(1+Assumptions!$G$20)</f>
        <v>91.08</v>
      </c>
      <c r="P34" s="15">
        <f t="shared" si="4"/>
        <v>224.18026577038694</v>
      </c>
      <c r="Q34" s="1"/>
      <c r="R34" s="1"/>
      <c r="S34" s="1"/>
      <c r="T34" s="1"/>
      <c r="U34" s="1"/>
      <c r="V34" s="1"/>
      <c r="W34" s="1"/>
      <c r="X34" s="1"/>
      <c r="Y34" s="1"/>
      <c r="Z34" s="1"/>
    </row>
    <row r="35" spans="1:26">
      <c r="A35" s="12">
        <v>46204</v>
      </c>
      <c r="B35" s="8" t="s">
        <v>68</v>
      </c>
      <c r="C35" s="18">
        <f>'Historical Actuals'!C95</f>
        <v>106930</v>
      </c>
      <c r="D35" s="18">
        <f>C35*(1+Assumptions!$B$21)</f>
        <v>111421.06</v>
      </c>
      <c r="E35" s="19">
        <f>'Historical Actuals'!D95</f>
        <v>10.45</v>
      </c>
      <c r="F35" s="19">
        <f>E35*(1+Assumptions!$C$21)</f>
        <v>10.742599999999999</v>
      </c>
      <c r="G35" s="19">
        <f>'Historical Actuals'!F95</f>
        <v>5.79</v>
      </c>
      <c r="H35" s="19">
        <f>G35*(1+Assumptions!$D$21)</f>
        <v>6.0100199999999999</v>
      </c>
      <c r="I35" s="15">
        <f t="shared" si="0"/>
        <v>1196.9518791559999</v>
      </c>
      <c r="J35" s="15">
        <f t="shared" si="1"/>
        <v>669.64279902119995</v>
      </c>
      <c r="K35" s="15">
        <f t="shared" si="2"/>
        <v>527.30908013479996</v>
      </c>
      <c r="L35" s="16">
        <f t="shared" si="3"/>
        <v>0.44054325768435948</v>
      </c>
      <c r="M35" s="20">
        <f>I35*Assumptions!$E$21</f>
        <v>73.014064628515996</v>
      </c>
      <c r="N35" s="20">
        <f>'Headcount &amp; Payroll'!H38</f>
        <v>180.19206249999999</v>
      </c>
      <c r="O35" s="20">
        <f>'Historical Actuals'!L95*(1+Assumptions!$G$21)</f>
        <v>77.831999999999994</v>
      </c>
      <c r="P35" s="15">
        <f t="shared" si="4"/>
        <v>196.270953006284</v>
      </c>
      <c r="Q35" s="1"/>
      <c r="R35" s="1"/>
      <c r="S35" s="1"/>
      <c r="T35" s="1"/>
      <c r="U35" s="1"/>
      <c r="V35" s="1"/>
      <c r="W35" s="1"/>
      <c r="X35" s="1"/>
      <c r="Y35" s="1"/>
      <c r="Z35" s="1"/>
    </row>
    <row r="36" spans="1:26">
      <c r="A36" s="12">
        <v>46204</v>
      </c>
      <c r="B36" s="8" t="s">
        <v>69</v>
      </c>
      <c r="C36" s="18">
        <f>'Historical Actuals'!C96</f>
        <v>78422</v>
      </c>
      <c r="D36" s="18">
        <f>C36*(1+Assumptions!$B$22)</f>
        <v>84695.760000000009</v>
      </c>
      <c r="E36" s="19">
        <f>'Historical Actuals'!D96</f>
        <v>15.25</v>
      </c>
      <c r="F36" s="19">
        <f>E36*(1+Assumptions!$C$22)</f>
        <v>15.78375</v>
      </c>
      <c r="G36" s="19">
        <f>'Historical Actuals'!F96</f>
        <v>7.96</v>
      </c>
      <c r="H36" s="19">
        <f>G36*(1+Assumptions!$D$22)</f>
        <v>8.2943200000000008</v>
      </c>
      <c r="I36" s="15">
        <f t="shared" ref="I36:I63" si="5">D36*F36/1000</f>
        <v>1336.8167019000002</v>
      </c>
      <c r="J36" s="15">
        <f t="shared" ref="J36:J63" si="6">D36*H36/1000</f>
        <v>702.49373608320025</v>
      </c>
      <c r="K36" s="15">
        <f t="shared" ref="K36:K63" si="7">I36-J36</f>
        <v>634.32296581679998</v>
      </c>
      <c r="L36" s="16">
        <f t="shared" ref="L36:L63" si="8">IFERROR(K36/I36,0)</f>
        <v>0.47450257384968708</v>
      </c>
      <c r="M36" s="20">
        <f>I36*Assumptions!$E$22</f>
        <v>113.62941966150002</v>
      </c>
      <c r="N36" s="20">
        <f>'Headcount &amp; Payroll'!H39</f>
        <v>169.6500125</v>
      </c>
      <c r="O36" s="20">
        <f>'Historical Actuals'!L96*(1+Assumptions!$G$22)</f>
        <v>73.423999999999992</v>
      </c>
      <c r="P36" s="15">
        <f t="shared" ref="P36:P63" si="9">K36-M36-N36-O36</f>
        <v>277.61953365529996</v>
      </c>
      <c r="Q36" s="1"/>
      <c r="R36" s="1"/>
      <c r="S36" s="1"/>
      <c r="T36" s="1"/>
      <c r="U36" s="1"/>
      <c r="V36" s="1"/>
      <c r="W36" s="1"/>
      <c r="X36" s="1"/>
      <c r="Y36" s="1"/>
      <c r="Z36" s="1"/>
    </row>
    <row r="37" spans="1:26">
      <c r="A37" s="12">
        <v>46204</v>
      </c>
      <c r="B37" s="8" t="s">
        <v>70</v>
      </c>
      <c r="C37" s="18">
        <f>'Historical Actuals'!C97</f>
        <v>70093</v>
      </c>
      <c r="D37" s="18">
        <f>C37*(1+Assumptions!$B$23)</f>
        <v>74859.324000000008</v>
      </c>
      <c r="E37" s="19">
        <f>'Historical Actuals'!D97</f>
        <v>12.69</v>
      </c>
      <c r="F37" s="19">
        <f>E37*(1+Assumptions!$C$23)</f>
        <v>13.096080000000001</v>
      </c>
      <c r="G37" s="19">
        <f>'Historical Actuals'!F97</f>
        <v>6.58</v>
      </c>
      <c r="H37" s="19">
        <f>G37*(1+Assumptions!$D$23)</f>
        <v>6.8432000000000004</v>
      </c>
      <c r="I37" s="15">
        <f t="shared" si="5"/>
        <v>980.36369584992019</v>
      </c>
      <c r="J37" s="15">
        <f t="shared" si="6"/>
        <v>512.27732599680007</v>
      </c>
      <c r="K37" s="15">
        <f t="shared" si="7"/>
        <v>468.08636985312012</v>
      </c>
      <c r="L37" s="16">
        <f t="shared" si="8"/>
        <v>0.47746195808211317</v>
      </c>
      <c r="M37" s="20">
        <f>I37*Assumptions!$E$23</f>
        <v>90.193460018192653</v>
      </c>
      <c r="N37" s="20">
        <f>'Headcount &amp; Payroll'!H40</f>
        <v>149.00022916666666</v>
      </c>
      <c r="O37" s="20">
        <f>'Historical Actuals'!L97*(1+Assumptions!$G$23)</f>
        <v>64.896000000000001</v>
      </c>
      <c r="P37" s="15">
        <f t="shared" si="9"/>
        <v>163.99668066826081</v>
      </c>
      <c r="Q37" s="1"/>
      <c r="R37" s="1"/>
      <c r="S37" s="1"/>
      <c r="T37" s="1"/>
      <c r="U37" s="1"/>
      <c r="V37" s="1"/>
      <c r="W37" s="1"/>
      <c r="X37" s="1"/>
      <c r="Y37" s="1"/>
      <c r="Z37" s="1"/>
    </row>
    <row r="38" spans="1:26">
      <c r="A38" s="12">
        <v>46204</v>
      </c>
      <c r="B38" s="8" t="s">
        <v>71</v>
      </c>
      <c r="C38" s="18">
        <f>'Historical Actuals'!C98</f>
        <v>55722</v>
      </c>
      <c r="D38" s="18">
        <f>C38*(1+Assumptions!$B$24)</f>
        <v>57672.27</v>
      </c>
      <c r="E38" s="19">
        <f>'Historical Actuals'!D98</f>
        <v>20.11</v>
      </c>
      <c r="F38" s="19">
        <f>E38*(1+Assumptions!$C$24)</f>
        <v>20.612749999999998</v>
      </c>
      <c r="G38" s="19">
        <f>'Historical Actuals'!F98</f>
        <v>11.21</v>
      </c>
      <c r="H38" s="19">
        <f>G38*(1+Assumptions!$D$24)</f>
        <v>11.714449999999999</v>
      </c>
      <c r="I38" s="15">
        <f t="shared" si="5"/>
        <v>1188.7840834424999</v>
      </c>
      <c r="J38" s="15">
        <f t="shared" si="6"/>
        <v>675.59892330149989</v>
      </c>
      <c r="K38" s="15">
        <f t="shared" si="7"/>
        <v>513.18516014099998</v>
      </c>
      <c r="L38" s="16">
        <f t="shared" si="8"/>
        <v>0.43168912444967317</v>
      </c>
      <c r="M38" s="20">
        <f>I38*Assumptions!$E$24</f>
        <v>79.648533590647503</v>
      </c>
      <c r="N38" s="20">
        <f>'Headcount &amp; Payroll'!H41</f>
        <v>127.77793749999999</v>
      </c>
      <c r="O38" s="20">
        <f>'Historical Actuals'!L98*(1+Assumptions!$G$24)</f>
        <v>64.162999999999997</v>
      </c>
      <c r="P38" s="15">
        <f t="shared" si="9"/>
        <v>241.59568905035246</v>
      </c>
      <c r="Q38" s="1"/>
      <c r="R38" s="1"/>
      <c r="S38" s="1"/>
      <c r="T38" s="1"/>
      <c r="U38" s="1"/>
      <c r="V38" s="1"/>
      <c r="W38" s="1"/>
      <c r="X38" s="1"/>
      <c r="Y38" s="1"/>
      <c r="Z38" s="1"/>
    </row>
    <row r="39" spans="1:26">
      <c r="A39" s="12">
        <v>46235</v>
      </c>
      <c r="B39" s="8" t="s">
        <v>67</v>
      </c>
      <c r="C39" s="18">
        <f>'Historical Actuals'!C99</f>
        <v>127601</v>
      </c>
      <c r="D39" s="18">
        <f>C39*(1+Assumptions!$B$20)</f>
        <v>134619.05499999999</v>
      </c>
      <c r="E39" s="19">
        <f>'Historical Actuals'!D99</f>
        <v>8.61</v>
      </c>
      <c r="F39" s="19">
        <f>E39*(1+Assumptions!$C$20)</f>
        <v>8.8682999999999996</v>
      </c>
      <c r="G39" s="19">
        <f>'Historical Actuals'!F99</f>
        <v>4.4400000000000004</v>
      </c>
      <c r="H39" s="19">
        <f>G39*(1+Assumptions!$D$20)</f>
        <v>4.5953999999999997</v>
      </c>
      <c r="I39" s="15">
        <f t="shared" si="5"/>
        <v>1193.8421654565</v>
      </c>
      <c r="J39" s="15">
        <f t="shared" si="6"/>
        <v>618.6284053469999</v>
      </c>
      <c r="K39" s="15">
        <f t="shared" si="7"/>
        <v>575.21376010950007</v>
      </c>
      <c r="L39" s="16">
        <f t="shared" si="8"/>
        <v>0.48181725922668389</v>
      </c>
      <c r="M39" s="20">
        <f>I39*Assumptions!$E$20</f>
        <v>87.150478078324497</v>
      </c>
      <c r="N39" s="20">
        <f>'Headcount &amp; Payroll'!I37</f>
        <v>215.50003333333333</v>
      </c>
      <c r="O39" s="20">
        <f>'Historical Actuals'!L99*(1+Assumptions!$G$20)</f>
        <v>91.907999999999987</v>
      </c>
      <c r="P39" s="15">
        <f t="shared" si="9"/>
        <v>180.65524869784227</v>
      </c>
      <c r="Q39" s="1"/>
      <c r="R39" s="1"/>
      <c r="S39" s="1"/>
      <c r="T39" s="1"/>
      <c r="U39" s="1"/>
      <c r="V39" s="1"/>
      <c r="W39" s="1"/>
      <c r="X39" s="1"/>
      <c r="Y39" s="1"/>
      <c r="Z39" s="1"/>
    </row>
    <row r="40" spans="1:26">
      <c r="A40" s="12">
        <v>46235</v>
      </c>
      <c r="B40" s="8" t="s">
        <v>68</v>
      </c>
      <c r="C40" s="18">
        <f>'Historical Actuals'!C100</f>
        <v>99964</v>
      </c>
      <c r="D40" s="18">
        <f>C40*(1+Assumptions!$B$21)</f>
        <v>104162.488</v>
      </c>
      <c r="E40" s="19">
        <f>'Historical Actuals'!D100</f>
        <v>10.46</v>
      </c>
      <c r="F40" s="19">
        <f>E40*(1+Assumptions!$C$21)</f>
        <v>10.752880000000001</v>
      </c>
      <c r="G40" s="19">
        <f>'Historical Actuals'!F100</f>
        <v>5.75</v>
      </c>
      <c r="H40" s="19">
        <f>G40*(1+Assumptions!$D$21)</f>
        <v>5.9685000000000006</v>
      </c>
      <c r="I40" s="15">
        <f t="shared" si="5"/>
        <v>1120.0467339654401</v>
      </c>
      <c r="J40" s="15">
        <f t="shared" si="6"/>
        <v>621.69380962800005</v>
      </c>
      <c r="K40" s="15">
        <f t="shared" si="7"/>
        <v>498.35292433744007</v>
      </c>
      <c r="L40" s="16">
        <f t="shared" si="8"/>
        <v>0.44493940228106332</v>
      </c>
      <c r="M40" s="20">
        <f>I40*Assumptions!$E$21</f>
        <v>68.322850771891851</v>
      </c>
      <c r="N40" s="20">
        <f>'Headcount &amp; Payroll'!I38</f>
        <v>180.19206249999999</v>
      </c>
      <c r="O40" s="20">
        <f>'Historical Actuals'!L100*(1+Assumptions!$G$21)</f>
        <v>79.073999999999998</v>
      </c>
      <c r="P40" s="15">
        <f t="shared" si="9"/>
        <v>170.76401106554823</v>
      </c>
      <c r="Q40" s="1"/>
      <c r="R40" s="1"/>
      <c r="S40" s="1"/>
      <c r="T40" s="1"/>
      <c r="U40" s="1"/>
      <c r="V40" s="1"/>
      <c r="W40" s="1"/>
      <c r="X40" s="1"/>
      <c r="Y40" s="1"/>
      <c r="Z40" s="1"/>
    </row>
    <row r="41" spans="1:26">
      <c r="A41" s="12">
        <v>46235</v>
      </c>
      <c r="B41" s="8" t="s">
        <v>69</v>
      </c>
      <c r="C41" s="18">
        <f>'Historical Actuals'!C101</f>
        <v>79423</v>
      </c>
      <c r="D41" s="18">
        <f>C41*(1+Assumptions!$B$22)</f>
        <v>85776.840000000011</v>
      </c>
      <c r="E41" s="19">
        <f>'Historical Actuals'!D101</f>
        <v>15.08</v>
      </c>
      <c r="F41" s="19">
        <f>E41*(1+Assumptions!$C$22)</f>
        <v>15.607799999999999</v>
      </c>
      <c r="G41" s="19">
        <f>'Historical Actuals'!F101</f>
        <v>7.96</v>
      </c>
      <c r="H41" s="19">
        <f>G41*(1+Assumptions!$D$22)</f>
        <v>8.2943200000000008</v>
      </c>
      <c r="I41" s="15">
        <f t="shared" si="5"/>
        <v>1338.7877633520002</v>
      </c>
      <c r="J41" s="15">
        <f t="shared" si="6"/>
        <v>711.46055954880012</v>
      </c>
      <c r="K41" s="15">
        <f t="shared" si="7"/>
        <v>627.32720380320006</v>
      </c>
      <c r="L41" s="16">
        <f t="shared" si="8"/>
        <v>0.46857853124719689</v>
      </c>
      <c r="M41" s="20">
        <f>I41*Assumptions!$E$22</f>
        <v>113.79695988492003</v>
      </c>
      <c r="N41" s="20">
        <f>'Headcount &amp; Payroll'!I39</f>
        <v>169.6500125</v>
      </c>
      <c r="O41" s="20">
        <f>'Historical Actuals'!L101*(1+Assumptions!$G$22)</f>
        <v>71.551999999999992</v>
      </c>
      <c r="P41" s="15">
        <f t="shared" si="9"/>
        <v>272.32823141827998</v>
      </c>
      <c r="Q41" s="1"/>
      <c r="R41" s="1"/>
      <c r="S41" s="1"/>
      <c r="T41" s="1"/>
      <c r="U41" s="1"/>
      <c r="V41" s="1"/>
      <c r="W41" s="1"/>
      <c r="X41" s="1"/>
      <c r="Y41" s="1"/>
      <c r="Z41" s="1"/>
    </row>
    <row r="42" spans="1:26">
      <c r="A42" s="12">
        <v>46235</v>
      </c>
      <c r="B42" s="8" t="s">
        <v>70</v>
      </c>
      <c r="C42" s="18">
        <f>'Historical Actuals'!C102</f>
        <v>65580</v>
      </c>
      <c r="D42" s="18">
        <f>C42*(1+Assumptions!$B$23)</f>
        <v>70039.44</v>
      </c>
      <c r="E42" s="19">
        <f>'Historical Actuals'!D102</f>
        <v>12.63</v>
      </c>
      <c r="F42" s="19">
        <f>E42*(1+Assumptions!$C$23)</f>
        <v>13.034160000000002</v>
      </c>
      <c r="G42" s="19">
        <f>'Historical Actuals'!F102</f>
        <v>6.65</v>
      </c>
      <c r="H42" s="19">
        <f>G42*(1+Assumptions!$D$23)</f>
        <v>6.9160000000000004</v>
      </c>
      <c r="I42" s="15">
        <f t="shared" si="5"/>
        <v>912.90526727040015</v>
      </c>
      <c r="J42" s="15">
        <f t="shared" si="6"/>
        <v>484.39276704000008</v>
      </c>
      <c r="K42" s="15">
        <f t="shared" si="7"/>
        <v>428.51250023040006</v>
      </c>
      <c r="L42" s="16">
        <f t="shared" si="8"/>
        <v>0.46939426859882033</v>
      </c>
      <c r="M42" s="20">
        <f>I42*Assumptions!$E$23</f>
        <v>83.987284588876818</v>
      </c>
      <c r="N42" s="20">
        <f>'Headcount &amp; Payroll'!I40</f>
        <v>149.00022916666666</v>
      </c>
      <c r="O42" s="20">
        <f>'Historical Actuals'!L102*(1+Assumptions!$G$23)</f>
        <v>67.08</v>
      </c>
      <c r="P42" s="15">
        <f t="shared" si="9"/>
        <v>128.44498647485659</v>
      </c>
      <c r="Q42" s="1"/>
      <c r="R42" s="1"/>
      <c r="S42" s="1"/>
      <c r="T42" s="1"/>
      <c r="U42" s="1"/>
      <c r="V42" s="1"/>
      <c r="W42" s="1"/>
      <c r="X42" s="1"/>
      <c r="Y42" s="1"/>
      <c r="Z42" s="1"/>
    </row>
    <row r="43" spans="1:26">
      <c r="A43" s="12">
        <v>46235</v>
      </c>
      <c r="B43" s="8" t="s">
        <v>71</v>
      </c>
      <c r="C43" s="18">
        <f>'Historical Actuals'!C103</f>
        <v>51753</v>
      </c>
      <c r="D43" s="18">
        <f>C43*(1+Assumptions!$B$24)</f>
        <v>53564.354999999996</v>
      </c>
      <c r="E43" s="19">
        <f>'Historical Actuals'!D103</f>
        <v>20.13</v>
      </c>
      <c r="F43" s="19">
        <f>E43*(1+Assumptions!$C$24)</f>
        <v>20.633249999999997</v>
      </c>
      <c r="G43" s="19">
        <f>'Historical Actuals'!F103</f>
        <v>11.37</v>
      </c>
      <c r="H43" s="19">
        <f>G43*(1+Assumptions!$D$24)</f>
        <v>11.881649999999999</v>
      </c>
      <c r="I43" s="15">
        <f t="shared" si="5"/>
        <v>1105.2067278037498</v>
      </c>
      <c r="J43" s="15">
        <f t="shared" si="6"/>
        <v>636.43291858574992</v>
      </c>
      <c r="K43" s="15">
        <f t="shared" si="7"/>
        <v>468.77380921799988</v>
      </c>
      <c r="L43" s="16">
        <f t="shared" si="8"/>
        <v>0.42415033986405437</v>
      </c>
      <c r="M43" s="20">
        <f>I43*Assumptions!$E$24</f>
        <v>74.048850762851245</v>
      </c>
      <c r="N43" s="20">
        <f>'Headcount &amp; Payroll'!I41</f>
        <v>127.77793749999999</v>
      </c>
      <c r="O43" s="20">
        <f>'Historical Actuals'!L103*(1+Assumptions!$G$24)</f>
        <v>64.68549999999999</v>
      </c>
      <c r="P43" s="15">
        <f t="shared" si="9"/>
        <v>202.26152095514863</v>
      </c>
      <c r="Q43" s="1"/>
      <c r="R43" s="1"/>
      <c r="S43" s="1"/>
      <c r="T43" s="1"/>
      <c r="U43" s="1"/>
      <c r="V43" s="1"/>
      <c r="W43" s="1"/>
      <c r="X43" s="1"/>
      <c r="Y43" s="1"/>
      <c r="Z43" s="1"/>
    </row>
    <row r="44" spans="1:26">
      <c r="A44" s="12">
        <v>46266</v>
      </c>
      <c r="B44" s="8" t="s">
        <v>67</v>
      </c>
      <c r="C44" s="18">
        <f>'Historical Actuals'!C104</f>
        <v>119733</v>
      </c>
      <c r="D44" s="18">
        <f>C44*(1+Assumptions!$B$20)</f>
        <v>126318.31499999999</v>
      </c>
      <c r="E44" s="19">
        <f>'Historical Actuals'!D104</f>
        <v>8.65</v>
      </c>
      <c r="F44" s="19">
        <f>E44*(1+Assumptions!$C$20)</f>
        <v>8.9095000000000013</v>
      </c>
      <c r="G44" s="19">
        <f>'Historical Actuals'!F104</f>
        <v>4.41</v>
      </c>
      <c r="H44" s="19">
        <f>G44*(1+Assumptions!$D$20)</f>
        <v>4.5643500000000001</v>
      </c>
      <c r="I44" s="15">
        <f t="shared" si="5"/>
        <v>1125.4330274925001</v>
      </c>
      <c r="J44" s="15">
        <f t="shared" si="6"/>
        <v>576.56100107024997</v>
      </c>
      <c r="K44" s="15">
        <f t="shared" si="7"/>
        <v>548.87202642225009</v>
      </c>
      <c r="L44" s="16">
        <f t="shared" si="8"/>
        <v>0.48769852404736524</v>
      </c>
      <c r="M44" s="20">
        <f>I44*Assumptions!$E$20</f>
        <v>82.156611006952502</v>
      </c>
      <c r="N44" s="20">
        <f>'Headcount &amp; Payroll'!J37</f>
        <v>215.50003333333333</v>
      </c>
      <c r="O44" s="20">
        <f>'Historical Actuals'!L104*(1+Assumptions!$G$20)</f>
        <v>90.87299999999999</v>
      </c>
      <c r="P44" s="15">
        <f t="shared" si="9"/>
        <v>160.34238208196425</v>
      </c>
      <c r="Q44" s="1"/>
      <c r="R44" s="1"/>
      <c r="S44" s="1"/>
      <c r="T44" s="1"/>
      <c r="U44" s="1"/>
      <c r="V44" s="1"/>
      <c r="W44" s="1"/>
      <c r="X44" s="1"/>
      <c r="Y44" s="1"/>
      <c r="Z44" s="1"/>
    </row>
    <row r="45" spans="1:26">
      <c r="A45" s="12">
        <v>46266</v>
      </c>
      <c r="B45" s="8" t="s">
        <v>68</v>
      </c>
      <c r="C45" s="18">
        <f>'Historical Actuals'!C105</f>
        <v>97680</v>
      </c>
      <c r="D45" s="18">
        <f>C45*(1+Assumptions!$B$21)</f>
        <v>101782.56</v>
      </c>
      <c r="E45" s="19">
        <f>'Historical Actuals'!D105</f>
        <v>10.51</v>
      </c>
      <c r="F45" s="19">
        <f>E45*(1+Assumptions!$C$21)</f>
        <v>10.80428</v>
      </c>
      <c r="G45" s="19">
        <f>'Historical Actuals'!F105</f>
        <v>5.7</v>
      </c>
      <c r="H45" s="19">
        <f>G45*(1+Assumptions!$D$21)</f>
        <v>5.9166000000000007</v>
      </c>
      <c r="I45" s="15">
        <f t="shared" si="5"/>
        <v>1099.6872773568</v>
      </c>
      <c r="J45" s="15">
        <f t="shared" si="6"/>
        <v>602.20669449600007</v>
      </c>
      <c r="K45" s="15">
        <f t="shared" si="7"/>
        <v>497.48058286079993</v>
      </c>
      <c r="L45" s="16">
        <f t="shared" si="8"/>
        <v>0.45238368498409881</v>
      </c>
      <c r="M45" s="20">
        <f>I45*Assumptions!$E$21</f>
        <v>67.080923918764796</v>
      </c>
      <c r="N45" s="20">
        <f>'Headcount &amp; Payroll'!J38</f>
        <v>180.19206249999999</v>
      </c>
      <c r="O45" s="20">
        <f>'Historical Actuals'!L105*(1+Assumptions!$G$21)</f>
        <v>76.072499999999991</v>
      </c>
      <c r="P45" s="15">
        <f t="shared" si="9"/>
        <v>174.13509644203512</v>
      </c>
      <c r="Q45" s="1"/>
      <c r="R45" s="1"/>
      <c r="S45" s="1"/>
      <c r="T45" s="1"/>
      <c r="U45" s="1"/>
      <c r="V45" s="1"/>
      <c r="W45" s="1"/>
      <c r="X45" s="1"/>
      <c r="Y45" s="1"/>
      <c r="Z45" s="1"/>
    </row>
    <row r="46" spans="1:26">
      <c r="A46" s="12">
        <v>46266</v>
      </c>
      <c r="B46" s="8" t="s">
        <v>69</v>
      </c>
      <c r="C46" s="18">
        <f>'Historical Actuals'!C106</f>
        <v>76538</v>
      </c>
      <c r="D46" s="18">
        <f>C46*(1+Assumptions!$B$22)</f>
        <v>82661.040000000008</v>
      </c>
      <c r="E46" s="19">
        <f>'Historical Actuals'!D106</f>
        <v>15.18</v>
      </c>
      <c r="F46" s="19">
        <f>E46*(1+Assumptions!$C$22)</f>
        <v>15.711299999999998</v>
      </c>
      <c r="G46" s="19">
        <f>'Historical Actuals'!F106</f>
        <v>7.89</v>
      </c>
      <c r="H46" s="19">
        <f>G46*(1+Assumptions!$D$22)</f>
        <v>8.2213799999999999</v>
      </c>
      <c r="I46" s="15">
        <f t="shared" si="5"/>
        <v>1298.712397752</v>
      </c>
      <c r="J46" s="15">
        <f t="shared" si="6"/>
        <v>679.58782103520002</v>
      </c>
      <c r="K46" s="15">
        <f t="shared" si="7"/>
        <v>619.12457671679999</v>
      </c>
      <c r="L46" s="16">
        <f t="shared" si="8"/>
        <v>0.47672184987874966</v>
      </c>
      <c r="M46" s="20">
        <f>I46*Assumptions!$E$22</f>
        <v>110.39055380892</v>
      </c>
      <c r="N46" s="20">
        <f>'Headcount &amp; Payroll'!J39</f>
        <v>169.6500125</v>
      </c>
      <c r="O46" s="20">
        <f>'Historical Actuals'!L106*(1+Assumptions!$G$22)</f>
        <v>70.2</v>
      </c>
      <c r="P46" s="15">
        <f t="shared" si="9"/>
        <v>268.88401040788</v>
      </c>
      <c r="Q46" s="1"/>
      <c r="R46" s="1"/>
      <c r="S46" s="1"/>
      <c r="T46" s="1"/>
      <c r="U46" s="1"/>
      <c r="V46" s="1"/>
      <c r="W46" s="1"/>
      <c r="X46" s="1"/>
      <c r="Y46" s="1"/>
      <c r="Z46" s="1"/>
    </row>
    <row r="47" spans="1:26">
      <c r="A47" s="12">
        <v>46266</v>
      </c>
      <c r="B47" s="8" t="s">
        <v>70</v>
      </c>
      <c r="C47" s="18">
        <f>'Historical Actuals'!C107</f>
        <v>65764</v>
      </c>
      <c r="D47" s="18">
        <f>C47*(1+Assumptions!$B$23)</f>
        <v>70235.952000000005</v>
      </c>
      <c r="E47" s="19">
        <f>'Historical Actuals'!D107</f>
        <v>12.68</v>
      </c>
      <c r="F47" s="19">
        <f>E47*(1+Assumptions!$C$23)</f>
        <v>13.085760000000001</v>
      </c>
      <c r="G47" s="19">
        <f>'Historical Actuals'!F107</f>
        <v>6.55</v>
      </c>
      <c r="H47" s="19">
        <f>G47*(1+Assumptions!$D$23)</f>
        <v>6.8120000000000003</v>
      </c>
      <c r="I47" s="15">
        <f t="shared" si="5"/>
        <v>919.09081124352008</v>
      </c>
      <c r="J47" s="15">
        <f t="shared" si="6"/>
        <v>478.44730502400006</v>
      </c>
      <c r="K47" s="15">
        <f t="shared" si="7"/>
        <v>440.64350621952002</v>
      </c>
      <c r="L47" s="16">
        <f t="shared" si="8"/>
        <v>0.4794341329811948</v>
      </c>
      <c r="M47" s="20">
        <f>I47*Assumptions!$E$23</f>
        <v>84.556354634403846</v>
      </c>
      <c r="N47" s="20">
        <f>'Headcount &amp; Payroll'!J40</f>
        <v>149.00022916666666</v>
      </c>
      <c r="O47" s="20">
        <f>'Historical Actuals'!L107*(1+Assumptions!$G$23)</f>
        <v>63.96</v>
      </c>
      <c r="P47" s="15">
        <f t="shared" si="9"/>
        <v>143.12692241844954</v>
      </c>
      <c r="Q47" s="1"/>
      <c r="R47" s="1"/>
      <c r="S47" s="1"/>
      <c r="T47" s="1"/>
      <c r="U47" s="1"/>
      <c r="V47" s="1"/>
      <c r="W47" s="1"/>
      <c r="X47" s="1"/>
      <c r="Y47" s="1"/>
      <c r="Z47" s="1"/>
    </row>
    <row r="48" spans="1:26">
      <c r="A48" s="12">
        <v>46266</v>
      </c>
      <c r="B48" s="8" t="s">
        <v>71</v>
      </c>
      <c r="C48" s="18">
        <f>'Historical Actuals'!C108</f>
        <v>51441</v>
      </c>
      <c r="D48" s="18">
        <f>C48*(1+Assumptions!$B$24)</f>
        <v>53241.434999999998</v>
      </c>
      <c r="E48" s="19">
        <f>'Historical Actuals'!D108</f>
        <v>20.09</v>
      </c>
      <c r="F48" s="19">
        <f>E48*(1+Assumptions!$C$24)</f>
        <v>20.592249999999996</v>
      </c>
      <c r="G48" s="19">
        <f>'Historical Actuals'!F108</f>
        <v>11.23</v>
      </c>
      <c r="H48" s="19">
        <f>G48*(1+Assumptions!$D$24)</f>
        <v>11.73535</v>
      </c>
      <c r="I48" s="15">
        <f t="shared" si="5"/>
        <v>1096.3609398787496</v>
      </c>
      <c r="J48" s="15">
        <f t="shared" si="6"/>
        <v>624.80687422724998</v>
      </c>
      <c r="K48" s="15">
        <f t="shared" si="7"/>
        <v>471.55406565149963</v>
      </c>
      <c r="L48" s="16">
        <f t="shared" si="8"/>
        <v>0.43010841457344373</v>
      </c>
      <c r="M48" s="20">
        <f>I48*Assumptions!$E$24</f>
        <v>73.456182971876231</v>
      </c>
      <c r="N48" s="20">
        <f>'Headcount &amp; Payroll'!J41</f>
        <v>127.77793749999999</v>
      </c>
      <c r="O48" s="20">
        <f>'Historical Actuals'!L108*(1+Assumptions!$G$24)</f>
        <v>63.744999999999997</v>
      </c>
      <c r="P48" s="15">
        <f t="shared" si="9"/>
        <v>206.5749451796234</v>
      </c>
      <c r="Q48" s="1"/>
      <c r="R48" s="1"/>
      <c r="S48" s="1"/>
      <c r="T48" s="1"/>
      <c r="U48" s="1"/>
      <c r="V48" s="1"/>
      <c r="W48" s="1"/>
      <c r="X48" s="1"/>
      <c r="Y48" s="1"/>
      <c r="Z48" s="1"/>
    </row>
    <row r="49" spans="1:26">
      <c r="A49" s="12">
        <v>46296</v>
      </c>
      <c r="B49" s="8" t="s">
        <v>67</v>
      </c>
      <c r="C49" s="18">
        <f>'Historical Actuals'!C109</f>
        <v>132521</v>
      </c>
      <c r="D49" s="18">
        <f>C49*(1+Assumptions!$B$20)</f>
        <v>139809.655</v>
      </c>
      <c r="E49" s="19">
        <f>'Historical Actuals'!D109</f>
        <v>8.6199999999999992</v>
      </c>
      <c r="F49" s="19">
        <f>E49*(1+Assumptions!$C$20)</f>
        <v>8.8785999999999987</v>
      </c>
      <c r="G49" s="19">
        <f>'Historical Actuals'!F109</f>
        <v>4.3899999999999997</v>
      </c>
      <c r="H49" s="19">
        <f>G49*(1+Assumptions!$D$20)</f>
        <v>4.5436499999999995</v>
      </c>
      <c r="I49" s="15">
        <f t="shared" si="5"/>
        <v>1241.3140028829998</v>
      </c>
      <c r="J49" s="15">
        <f t="shared" si="6"/>
        <v>635.24613894074992</v>
      </c>
      <c r="K49" s="15">
        <f t="shared" si="7"/>
        <v>606.06786394224991</v>
      </c>
      <c r="L49" s="16">
        <f t="shared" si="8"/>
        <v>0.48824702092672267</v>
      </c>
      <c r="M49" s="20">
        <f>I49*Assumptions!$E$20</f>
        <v>90.615922210458976</v>
      </c>
      <c r="N49" s="20">
        <f>'Headcount &amp; Payroll'!K37</f>
        <v>215.50003333333333</v>
      </c>
      <c r="O49" s="20">
        <f>'Historical Actuals'!L109*(1+Assumptions!$G$20)</f>
        <v>88.285499999999985</v>
      </c>
      <c r="P49" s="15">
        <f t="shared" si="9"/>
        <v>211.66640839845761</v>
      </c>
      <c r="Q49" s="1"/>
      <c r="R49" s="1"/>
      <c r="S49" s="1"/>
      <c r="T49" s="1"/>
      <c r="U49" s="1"/>
      <c r="V49" s="1"/>
      <c r="W49" s="1"/>
      <c r="X49" s="1"/>
      <c r="Y49" s="1"/>
      <c r="Z49" s="1"/>
    </row>
    <row r="50" spans="1:26">
      <c r="A50" s="12">
        <v>46296</v>
      </c>
      <c r="B50" s="8" t="s">
        <v>68</v>
      </c>
      <c r="C50" s="18">
        <f>'Historical Actuals'!C110</f>
        <v>99372</v>
      </c>
      <c r="D50" s="18">
        <f>C50*(1+Assumptions!$B$21)</f>
        <v>103545.62400000001</v>
      </c>
      <c r="E50" s="19">
        <f>'Historical Actuals'!D110</f>
        <v>10.38</v>
      </c>
      <c r="F50" s="19">
        <f>E50*(1+Assumptions!$C$21)</f>
        <v>10.670640000000001</v>
      </c>
      <c r="G50" s="19">
        <f>'Historical Actuals'!F110</f>
        <v>5.77</v>
      </c>
      <c r="H50" s="19">
        <f>G50*(1+Assumptions!$D$21)</f>
        <v>5.9892599999999998</v>
      </c>
      <c r="I50" s="15">
        <f t="shared" si="5"/>
        <v>1104.8980772793602</v>
      </c>
      <c r="J50" s="15">
        <f t="shared" si="6"/>
        <v>620.16166399823999</v>
      </c>
      <c r="K50" s="15">
        <f t="shared" si="7"/>
        <v>484.73641328112024</v>
      </c>
      <c r="L50" s="16">
        <f t="shared" si="8"/>
        <v>0.4387159533073931</v>
      </c>
      <c r="M50" s="20">
        <f>I50*Assumptions!$E$21</f>
        <v>67.398782714040976</v>
      </c>
      <c r="N50" s="20">
        <f>'Headcount &amp; Payroll'!K38</f>
        <v>180.19206249999999</v>
      </c>
      <c r="O50" s="20">
        <f>'Historical Actuals'!L110*(1+Assumptions!$G$21)</f>
        <v>77.417999999999992</v>
      </c>
      <c r="P50" s="15">
        <f t="shared" si="9"/>
        <v>159.72756806707929</v>
      </c>
      <c r="Q50" s="1"/>
      <c r="R50" s="1"/>
      <c r="S50" s="1"/>
      <c r="T50" s="1"/>
      <c r="U50" s="1"/>
      <c r="V50" s="1"/>
      <c r="W50" s="1"/>
      <c r="X50" s="1"/>
      <c r="Y50" s="1"/>
      <c r="Z50" s="1"/>
    </row>
    <row r="51" spans="1:26">
      <c r="A51" s="12">
        <v>46296</v>
      </c>
      <c r="B51" s="8" t="s">
        <v>69</v>
      </c>
      <c r="C51" s="18">
        <f>'Historical Actuals'!C111</f>
        <v>80242</v>
      </c>
      <c r="D51" s="18">
        <f>C51*(1+Assumptions!$B$22)</f>
        <v>86661.36</v>
      </c>
      <c r="E51" s="19">
        <f>'Historical Actuals'!D111</f>
        <v>15.09</v>
      </c>
      <c r="F51" s="19">
        <f>E51*(1+Assumptions!$C$22)</f>
        <v>15.618149999999998</v>
      </c>
      <c r="G51" s="19">
        <f>'Historical Actuals'!F111</f>
        <v>7.96</v>
      </c>
      <c r="H51" s="19">
        <f>G51*(1+Assumptions!$D$22)</f>
        <v>8.2943200000000008</v>
      </c>
      <c r="I51" s="15">
        <f t="shared" si="5"/>
        <v>1353.4901196839999</v>
      </c>
      <c r="J51" s="15">
        <f t="shared" si="6"/>
        <v>718.79705147520008</v>
      </c>
      <c r="K51" s="15">
        <f t="shared" si="7"/>
        <v>634.69306820879979</v>
      </c>
      <c r="L51" s="16">
        <f t="shared" si="8"/>
        <v>0.46893069921853731</v>
      </c>
      <c r="M51" s="20">
        <f>I51*Assumptions!$E$22</f>
        <v>115.04666017314</v>
      </c>
      <c r="N51" s="20">
        <f>'Headcount &amp; Payroll'!K39</f>
        <v>169.6500125</v>
      </c>
      <c r="O51" s="20">
        <f>'Historical Actuals'!L111*(1+Assumptions!$G$22)</f>
        <v>71.448000000000008</v>
      </c>
      <c r="P51" s="15">
        <f t="shared" si="9"/>
        <v>278.54839553565978</v>
      </c>
      <c r="Q51" s="1"/>
      <c r="R51" s="1"/>
      <c r="S51" s="1"/>
      <c r="T51" s="1"/>
      <c r="U51" s="1"/>
      <c r="V51" s="1"/>
      <c r="W51" s="1"/>
      <c r="X51" s="1"/>
      <c r="Y51" s="1"/>
      <c r="Z51" s="1"/>
    </row>
    <row r="52" spans="1:26">
      <c r="A52" s="12">
        <v>46296</v>
      </c>
      <c r="B52" s="8" t="s">
        <v>70</v>
      </c>
      <c r="C52" s="18">
        <f>'Historical Actuals'!C112</f>
        <v>67292</v>
      </c>
      <c r="D52" s="18">
        <f>C52*(1+Assumptions!$B$23)</f>
        <v>71867.856</v>
      </c>
      <c r="E52" s="19">
        <f>'Historical Actuals'!D112</f>
        <v>12.71</v>
      </c>
      <c r="F52" s="19">
        <f>E52*(1+Assumptions!$C$23)</f>
        <v>13.116720000000001</v>
      </c>
      <c r="G52" s="19">
        <f>'Historical Actuals'!F112</f>
        <v>6.54</v>
      </c>
      <c r="H52" s="19">
        <f>G52*(1+Assumptions!$D$23)</f>
        <v>6.8016000000000005</v>
      </c>
      <c r="I52" s="15">
        <f t="shared" si="5"/>
        <v>942.67054415231996</v>
      </c>
      <c r="J52" s="15">
        <f t="shared" si="6"/>
        <v>488.81640936960008</v>
      </c>
      <c r="K52" s="15">
        <f t="shared" si="7"/>
        <v>453.85413478271988</v>
      </c>
      <c r="L52" s="16">
        <f t="shared" si="8"/>
        <v>0.48145572978610496</v>
      </c>
      <c r="M52" s="20">
        <f>I52*Assumptions!$E$23</f>
        <v>86.725690062013442</v>
      </c>
      <c r="N52" s="20">
        <f>'Headcount &amp; Payroll'!K40</f>
        <v>149.00022916666666</v>
      </c>
      <c r="O52" s="20">
        <f>'Historical Actuals'!L112*(1+Assumptions!$G$23)</f>
        <v>65.52</v>
      </c>
      <c r="P52" s="15">
        <f t="shared" si="9"/>
        <v>152.60821555403982</v>
      </c>
      <c r="Q52" s="1"/>
      <c r="R52" s="1"/>
      <c r="S52" s="1"/>
      <c r="T52" s="1"/>
      <c r="U52" s="1"/>
      <c r="V52" s="1"/>
      <c r="W52" s="1"/>
      <c r="X52" s="1"/>
      <c r="Y52" s="1"/>
      <c r="Z52" s="1"/>
    </row>
    <row r="53" spans="1:26">
      <c r="A53" s="12">
        <v>46296</v>
      </c>
      <c r="B53" s="8" t="s">
        <v>71</v>
      </c>
      <c r="C53" s="18">
        <f>'Historical Actuals'!C113</f>
        <v>54568</v>
      </c>
      <c r="D53" s="18">
        <f>C53*(1+Assumptions!$B$24)</f>
        <v>56477.88</v>
      </c>
      <c r="E53" s="19">
        <f>'Historical Actuals'!D113</f>
        <v>19.98</v>
      </c>
      <c r="F53" s="19">
        <f>E53*(1+Assumptions!$C$24)</f>
        <v>20.479499999999998</v>
      </c>
      <c r="G53" s="19">
        <f>'Historical Actuals'!F113</f>
        <v>11.2</v>
      </c>
      <c r="H53" s="19">
        <f>G53*(1+Assumptions!$D$24)</f>
        <v>11.703999999999999</v>
      </c>
      <c r="I53" s="15">
        <f t="shared" si="5"/>
        <v>1156.6387434599999</v>
      </c>
      <c r="J53" s="15">
        <f t="shared" si="6"/>
        <v>661.01710751999997</v>
      </c>
      <c r="K53" s="15">
        <f t="shared" si="7"/>
        <v>495.62163593999992</v>
      </c>
      <c r="L53" s="16">
        <f t="shared" si="8"/>
        <v>0.42850167240411141</v>
      </c>
      <c r="M53" s="20">
        <f>I53*Assumptions!$E$24</f>
        <v>77.494795811819998</v>
      </c>
      <c r="N53" s="20">
        <f>'Headcount &amp; Payroll'!K41</f>
        <v>127.77793749999999</v>
      </c>
      <c r="O53" s="20">
        <f>'Historical Actuals'!L113*(1+Assumptions!$G$24)</f>
        <v>61.236999999999995</v>
      </c>
      <c r="P53" s="15">
        <f t="shared" si="9"/>
        <v>229.11190262817993</v>
      </c>
      <c r="Q53" s="1"/>
      <c r="R53" s="1"/>
      <c r="S53" s="1"/>
      <c r="T53" s="1"/>
      <c r="U53" s="1"/>
      <c r="V53" s="1"/>
      <c r="W53" s="1"/>
      <c r="X53" s="1"/>
      <c r="Y53" s="1"/>
      <c r="Z53" s="1"/>
    </row>
    <row r="54" spans="1:26">
      <c r="A54" s="12">
        <v>46327</v>
      </c>
      <c r="B54" s="8" t="s">
        <v>67</v>
      </c>
      <c r="C54" s="18">
        <f>'Historical Actuals'!C114</f>
        <v>138715</v>
      </c>
      <c r="D54" s="18">
        <f>C54*(1+Assumptions!$B$20)</f>
        <v>146344.32499999998</v>
      </c>
      <c r="E54" s="19">
        <f>'Historical Actuals'!D114</f>
        <v>8.59</v>
      </c>
      <c r="F54" s="19">
        <f>E54*(1+Assumptions!$C$20)</f>
        <v>8.8476999999999997</v>
      </c>
      <c r="G54" s="19">
        <f>'Historical Actuals'!F114</f>
        <v>4.46</v>
      </c>
      <c r="H54" s="19">
        <f>G54*(1+Assumptions!$D$20)</f>
        <v>4.6160999999999994</v>
      </c>
      <c r="I54" s="15">
        <f t="shared" si="5"/>
        <v>1294.8106843024998</v>
      </c>
      <c r="J54" s="15">
        <f t="shared" si="6"/>
        <v>675.54003863249989</v>
      </c>
      <c r="K54" s="15">
        <f t="shared" si="7"/>
        <v>619.27064566999991</v>
      </c>
      <c r="L54" s="16">
        <f t="shared" si="8"/>
        <v>0.47827118912259686</v>
      </c>
      <c r="M54" s="20">
        <f>I54*Assumptions!$E$20</f>
        <v>94.521179954082484</v>
      </c>
      <c r="N54" s="20">
        <f>'Headcount &amp; Payroll'!L37</f>
        <v>215.50003333333333</v>
      </c>
      <c r="O54" s="20">
        <f>'Historical Actuals'!L114*(1+Assumptions!$G$20)</f>
        <v>90.665999999999983</v>
      </c>
      <c r="P54" s="15">
        <f t="shared" si="9"/>
        <v>218.58343238258402</v>
      </c>
      <c r="Q54" s="1"/>
      <c r="R54" s="1"/>
      <c r="S54" s="1"/>
      <c r="T54" s="1"/>
      <c r="U54" s="1"/>
      <c r="V54" s="1"/>
      <c r="W54" s="1"/>
      <c r="X54" s="1"/>
      <c r="Y54" s="1"/>
      <c r="Z54" s="1"/>
    </row>
    <row r="55" spans="1:26">
      <c r="A55" s="12">
        <v>46327</v>
      </c>
      <c r="B55" s="8" t="s">
        <v>68</v>
      </c>
      <c r="C55" s="18">
        <f>'Historical Actuals'!C115</f>
        <v>111700</v>
      </c>
      <c r="D55" s="18">
        <f>C55*(1+Assumptions!$B$21)</f>
        <v>116391.40000000001</v>
      </c>
      <c r="E55" s="19">
        <f>'Historical Actuals'!D115</f>
        <v>10.42</v>
      </c>
      <c r="F55" s="19">
        <f>E55*(1+Assumptions!$C$21)</f>
        <v>10.71176</v>
      </c>
      <c r="G55" s="19">
        <f>'Historical Actuals'!F115</f>
        <v>5.76</v>
      </c>
      <c r="H55" s="19">
        <f>G55*(1+Assumptions!$D$21)</f>
        <v>5.9788800000000002</v>
      </c>
      <c r="I55" s="15">
        <f t="shared" si="5"/>
        <v>1246.7567428640002</v>
      </c>
      <c r="J55" s="15">
        <f t="shared" si="6"/>
        <v>695.89021363200004</v>
      </c>
      <c r="K55" s="15">
        <f t="shared" si="7"/>
        <v>550.86652923200018</v>
      </c>
      <c r="L55" s="16">
        <f t="shared" si="8"/>
        <v>0.44183962299379381</v>
      </c>
      <c r="M55" s="20">
        <f>I55*Assumptions!$E$21</f>
        <v>76.052161314704009</v>
      </c>
      <c r="N55" s="20">
        <f>'Headcount &amp; Payroll'!L38</f>
        <v>180.19206249999999</v>
      </c>
      <c r="O55" s="20">
        <f>'Historical Actuals'!L115*(1+Assumptions!$G$21)</f>
        <v>79.073999999999998</v>
      </c>
      <c r="P55" s="15">
        <f t="shared" si="9"/>
        <v>215.54830541729615</v>
      </c>
      <c r="Q55" s="1"/>
      <c r="R55" s="1"/>
      <c r="S55" s="1"/>
      <c r="T55" s="1"/>
      <c r="U55" s="1"/>
      <c r="V55" s="1"/>
      <c r="W55" s="1"/>
      <c r="X55" s="1"/>
      <c r="Y55" s="1"/>
      <c r="Z55" s="1"/>
    </row>
    <row r="56" spans="1:26">
      <c r="A56" s="12">
        <v>46327</v>
      </c>
      <c r="B56" s="8" t="s">
        <v>69</v>
      </c>
      <c r="C56" s="18">
        <f>'Historical Actuals'!C116</f>
        <v>88160</v>
      </c>
      <c r="D56" s="18">
        <f>C56*(1+Assumptions!$B$22)</f>
        <v>95212.800000000003</v>
      </c>
      <c r="E56" s="19">
        <f>'Historical Actuals'!D116</f>
        <v>15.14</v>
      </c>
      <c r="F56" s="19">
        <f>E56*(1+Assumptions!$C$22)</f>
        <v>15.6699</v>
      </c>
      <c r="G56" s="19">
        <f>'Historical Actuals'!F116</f>
        <v>7.91</v>
      </c>
      <c r="H56" s="19">
        <f>G56*(1+Assumptions!$D$22)</f>
        <v>8.2422199999999997</v>
      </c>
      <c r="I56" s="15">
        <f t="shared" si="5"/>
        <v>1491.9750547200001</v>
      </c>
      <c r="J56" s="15">
        <f t="shared" si="6"/>
        <v>784.76484441599996</v>
      </c>
      <c r="K56" s="15">
        <f t="shared" si="7"/>
        <v>707.21021030400016</v>
      </c>
      <c r="L56" s="16">
        <f t="shared" si="8"/>
        <v>0.47400940656928259</v>
      </c>
      <c r="M56" s="20">
        <f>I56*Assumptions!$E$22</f>
        <v>126.81787965120002</v>
      </c>
      <c r="N56" s="20">
        <f>'Headcount &amp; Payroll'!L39</f>
        <v>169.6500125</v>
      </c>
      <c r="O56" s="20">
        <f>'Historical Actuals'!L116*(1+Assumptions!$G$22)</f>
        <v>73.320000000000007</v>
      </c>
      <c r="P56" s="15">
        <f t="shared" si="9"/>
        <v>337.42231815280019</v>
      </c>
      <c r="Q56" s="1"/>
      <c r="R56" s="1"/>
      <c r="S56" s="1"/>
      <c r="T56" s="1"/>
      <c r="U56" s="1"/>
      <c r="V56" s="1"/>
      <c r="W56" s="1"/>
      <c r="X56" s="1"/>
      <c r="Y56" s="1"/>
      <c r="Z56" s="1"/>
    </row>
    <row r="57" spans="1:26">
      <c r="A57" s="12">
        <v>46327</v>
      </c>
      <c r="B57" s="8" t="s">
        <v>70</v>
      </c>
      <c r="C57" s="18">
        <f>'Historical Actuals'!C117</f>
        <v>71139</v>
      </c>
      <c r="D57" s="18">
        <f>C57*(1+Assumptions!$B$23)</f>
        <v>75976.452000000005</v>
      </c>
      <c r="E57" s="19">
        <f>'Historical Actuals'!D117</f>
        <v>12.66</v>
      </c>
      <c r="F57" s="19">
        <f>E57*(1+Assumptions!$C$23)</f>
        <v>13.06512</v>
      </c>
      <c r="G57" s="19">
        <f>'Historical Actuals'!F117</f>
        <v>6.62</v>
      </c>
      <c r="H57" s="19">
        <f>G57*(1+Assumptions!$D$23)</f>
        <v>6.8848000000000003</v>
      </c>
      <c r="I57" s="15">
        <f t="shared" si="5"/>
        <v>992.64146255424009</v>
      </c>
      <c r="J57" s="15">
        <f t="shared" si="6"/>
        <v>523.08267672960005</v>
      </c>
      <c r="K57" s="15">
        <f t="shared" si="7"/>
        <v>469.55878582464004</v>
      </c>
      <c r="L57" s="16">
        <f t="shared" si="8"/>
        <v>0.47303966591963947</v>
      </c>
      <c r="M57" s="20">
        <f>I57*Assumptions!$E$23</f>
        <v>91.323014554990081</v>
      </c>
      <c r="N57" s="20">
        <f>'Headcount &amp; Payroll'!L40</f>
        <v>149.00022916666666</v>
      </c>
      <c r="O57" s="20">
        <f>'Historical Actuals'!L117*(1+Assumptions!$G$23)</f>
        <v>63.752000000000002</v>
      </c>
      <c r="P57" s="15">
        <f t="shared" si="9"/>
        <v>165.48354210298328</v>
      </c>
      <c r="Q57" s="1"/>
      <c r="R57" s="1"/>
      <c r="S57" s="1"/>
      <c r="T57" s="1"/>
      <c r="U57" s="1"/>
      <c r="V57" s="1"/>
      <c r="W57" s="1"/>
      <c r="X57" s="1"/>
      <c r="Y57" s="1"/>
      <c r="Z57" s="1"/>
    </row>
    <row r="58" spans="1:26">
      <c r="A58" s="12">
        <v>46327</v>
      </c>
      <c r="B58" s="8" t="s">
        <v>71</v>
      </c>
      <c r="C58" s="18">
        <f>'Historical Actuals'!C118</f>
        <v>55469</v>
      </c>
      <c r="D58" s="18">
        <f>C58*(1+Assumptions!$B$24)</f>
        <v>57410.414999999994</v>
      </c>
      <c r="E58" s="19">
        <f>'Historical Actuals'!D118</f>
        <v>19.989999999999998</v>
      </c>
      <c r="F58" s="19">
        <f>E58*(1+Assumptions!$C$24)</f>
        <v>20.489749999999997</v>
      </c>
      <c r="G58" s="19">
        <f>'Historical Actuals'!F118</f>
        <v>11.34</v>
      </c>
      <c r="H58" s="19">
        <f>G58*(1+Assumptions!$D$24)</f>
        <v>11.850299999999999</v>
      </c>
      <c r="I58" s="15">
        <f t="shared" si="5"/>
        <v>1176.3250507462496</v>
      </c>
      <c r="J58" s="15">
        <f t="shared" si="6"/>
        <v>680.33064087449998</v>
      </c>
      <c r="K58" s="15">
        <f t="shared" si="7"/>
        <v>495.99440987174967</v>
      </c>
      <c r="L58" s="16">
        <f t="shared" si="8"/>
        <v>0.42164740907038872</v>
      </c>
      <c r="M58" s="20">
        <f>I58*Assumptions!$E$24</f>
        <v>78.813778399998725</v>
      </c>
      <c r="N58" s="20">
        <f>'Headcount &amp; Payroll'!L41</f>
        <v>127.77793749999999</v>
      </c>
      <c r="O58" s="20">
        <f>'Historical Actuals'!L118*(1+Assumptions!$G$24)</f>
        <v>63.640499999999996</v>
      </c>
      <c r="P58" s="15">
        <f t="shared" si="9"/>
        <v>225.76219397175092</v>
      </c>
      <c r="Q58" s="1"/>
      <c r="R58" s="1"/>
      <c r="S58" s="1"/>
      <c r="T58" s="1"/>
      <c r="U58" s="1"/>
      <c r="V58" s="1"/>
      <c r="W58" s="1"/>
      <c r="X58" s="1"/>
      <c r="Y58" s="1"/>
      <c r="Z58" s="1"/>
    </row>
    <row r="59" spans="1:26">
      <c r="A59" s="12">
        <v>46357</v>
      </c>
      <c r="B59" s="8" t="s">
        <v>67</v>
      </c>
      <c r="C59" s="18">
        <f>'Historical Actuals'!C119</f>
        <v>147573</v>
      </c>
      <c r="D59" s="18">
        <f>C59*(1+Assumptions!$B$20)</f>
        <v>155689.51499999998</v>
      </c>
      <c r="E59" s="19">
        <f>'Historical Actuals'!D119</f>
        <v>8.61</v>
      </c>
      <c r="F59" s="19">
        <f>E59*(1+Assumptions!$C$20)</f>
        <v>8.8682999999999996</v>
      </c>
      <c r="G59" s="19">
        <f>'Historical Actuals'!F119</f>
        <v>4.43</v>
      </c>
      <c r="H59" s="19">
        <f>G59*(1+Assumptions!$D$20)</f>
        <v>4.585049999999999</v>
      </c>
      <c r="I59" s="15">
        <f t="shared" si="5"/>
        <v>1380.7013258744998</v>
      </c>
      <c r="J59" s="15">
        <f t="shared" si="6"/>
        <v>713.84421075074977</v>
      </c>
      <c r="K59" s="15">
        <f t="shared" si="7"/>
        <v>666.85711512375008</v>
      </c>
      <c r="L59" s="16">
        <f t="shared" si="8"/>
        <v>0.48298433747166886</v>
      </c>
      <c r="M59" s="20">
        <f>I59*Assumptions!$E$20</f>
        <v>100.79119678883848</v>
      </c>
      <c r="N59" s="20">
        <f>'Headcount &amp; Payroll'!M37</f>
        <v>215.50003333333333</v>
      </c>
      <c r="O59" s="20">
        <f>'Historical Actuals'!L119*(1+Assumptions!$G$20)</f>
        <v>90.769499999999994</v>
      </c>
      <c r="P59" s="15">
        <f t="shared" si="9"/>
        <v>259.7963850015783</v>
      </c>
      <c r="Q59" s="1"/>
      <c r="R59" s="1"/>
      <c r="S59" s="1"/>
      <c r="T59" s="1"/>
      <c r="U59" s="1"/>
      <c r="V59" s="1"/>
      <c r="W59" s="1"/>
      <c r="X59" s="1"/>
      <c r="Y59" s="1"/>
      <c r="Z59" s="1"/>
    </row>
    <row r="60" spans="1:26">
      <c r="A60" s="12">
        <v>46357</v>
      </c>
      <c r="B60" s="8" t="s">
        <v>68</v>
      </c>
      <c r="C60" s="18">
        <f>'Historical Actuals'!C120</f>
        <v>116638</v>
      </c>
      <c r="D60" s="18">
        <f>C60*(1+Assumptions!$B$21)</f>
        <v>121536.796</v>
      </c>
      <c r="E60" s="19">
        <f>'Historical Actuals'!D120</f>
        <v>10.54</v>
      </c>
      <c r="F60" s="19">
        <f>E60*(1+Assumptions!$C$21)</f>
        <v>10.83512</v>
      </c>
      <c r="G60" s="19">
        <f>'Historical Actuals'!F120</f>
        <v>5.75</v>
      </c>
      <c r="H60" s="19">
        <f>G60*(1+Assumptions!$D$21)</f>
        <v>5.9685000000000006</v>
      </c>
      <c r="I60" s="15">
        <f t="shared" si="5"/>
        <v>1316.8657690755201</v>
      </c>
      <c r="J60" s="15">
        <f t="shared" si="6"/>
        <v>725.39236692600014</v>
      </c>
      <c r="K60" s="15">
        <f t="shared" si="7"/>
        <v>591.47340214951998</v>
      </c>
      <c r="L60" s="16">
        <f t="shared" si="8"/>
        <v>0.44915238594496409</v>
      </c>
      <c r="M60" s="20">
        <f>I60*Assumptions!$E$21</f>
        <v>80.328811913606728</v>
      </c>
      <c r="N60" s="20">
        <f>'Headcount &amp; Payroll'!M38</f>
        <v>180.19206249999999</v>
      </c>
      <c r="O60" s="20">
        <f>'Historical Actuals'!L120*(1+Assumptions!$G$21)</f>
        <v>79.384500000000003</v>
      </c>
      <c r="P60" s="15">
        <f t="shared" si="9"/>
        <v>251.56802773591323</v>
      </c>
      <c r="Q60" s="1"/>
      <c r="R60" s="1"/>
      <c r="S60" s="1"/>
      <c r="T60" s="1"/>
      <c r="U60" s="1"/>
      <c r="V60" s="1"/>
      <c r="W60" s="1"/>
      <c r="X60" s="1"/>
      <c r="Y60" s="1"/>
      <c r="Z60" s="1"/>
    </row>
    <row r="61" spans="1:26">
      <c r="A61" s="12">
        <v>46357</v>
      </c>
      <c r="B61" s="8" t="s">
        <v>69</v>
      </c>
      <c r="C61" s="18">
        <f>'Historical Actuals'!C121</f>
        <v>91856</v>
      </c>
      <c r="D61" s="18">
        <f>C61*(1+Assumptions!$B$22)</f>
        <v>99204.48000000001</v>
      </c>
      <c r="E61" s="19">
        <f>'Historical Actuals'!D121</f>
        <v>15.08</v>
      </c>
      <c r="F61" s="19">
        <f>E61*(1+Assumptions!$C$22)</f>
        <v>15.607799999999999</v>
      </c>
      <c r="G61" s="19">
        <f>'Historical Actuals'!F121</f>
        <v>7.83</v>
      </c>
      <c r="H61" s="19">
        <f>G61*(1+Assumptions!$D$22)</f>
        <v>8.1588600000000007</v>
      </c>
      <c r="I61" s="15">
        <f t="shared" si="5"/>
        <v>1548.3636829439999</v>
      </c>
      <c r="J61" s="15">
        <f t="shared" si="6"/>
        <v>809.39546369280015</v>
      </c>
      <c r="K61" s="15">
        <f t="shared" si="7"/>
        <v>738.9682192511998</v>
      </c>
      <c r="L61" s="16">
        <f t="shared" si="8"/>
        <v>0.47725752508361191</v>
      </c>
      <c r="M61" s="20">
        <f>I61*Assumptions!$E$22</f>
        <v>131.61091305024001</v>
      </c>
      <c r="N61" s="20">
        <f>'Headcount &amp; Payroll'!M39</f>
        <v>169.6500125</v>
      </c>
      <c r="O61" s="20">
        <f>'Historical Actuals'!L121*(1+Assumptions!$G$22)</f>
        <v>71.343999999999994</v>
      </c>
      <c r="P61" s="15">
        <f t="shared" si="9"/>
        <v>366.36329370095979</v>
      </c>
      <c r="Q61" s="1"/>
      <c r="R61" s="1"/>
      <c r="S61" s="1"/>
      <c r="T61" s="1"/>
      <c r="U61" s="1"/>
      <c r="V61" s="1"/>
      <c r="W61" s="1"/>
      <c r="X61" s="1"/>
      <c r="Y61" s="1"/>
      <c r="Z61" s="1"/>
    </row>
    <row r="62" spans="1:26">
      <c r="A62" s="12">
        <v>46357</v>
      </c>
      <c r="B62" s="8" t="s">
        <v>70</v>
      </c>
      <c r="C62" s="18">
        <f>'Historical Actuals'!C122</f>
        <v>75383</v>
      </c>
      <c r="D62" s="18">
        <f>C62*(1+Assumptions!$B$23)</f>
        <v>80509.044000000009</v>
      </c>
      <c r="E62" s="19">
        <f>'Historical Actuals'!D122</f>
        <v>12.65</v>
      </c>
      <c r="F62" s="19">
        <f>E62*(1+Assumptions!$C$23)</f>
        <v>13.0548</v>
      </c>
      <c r="G62" s="19">
        <f>'Historical Actuals'!F122</f>
        <v>6.62</v>
      </c>
      <c r="H62" s="19">
        <f>G62*(1+Assumptions!$D$23)</f>
        <v>6.8848000000000003</v>
      </c>
      <c r="I62" s="15">
        <f t="shared" si="5"/>
        <v>1051.0294676112003</v>
      </c>
      <c r="J62" s="15">
        <f t="shared" si="6"/>
        <v>554.28866613119999</v>
      </c>
      <c r="K62" s="15">
        <f t="shared" si="7"/>
        <v>496.7408014800003</v>
      </c>
      <c r="L62" s="16">
        <f t="shared" si="8"/>
        <v>0.47262309648558398</v>
      </c>
      <c r="M62" s="20">
        <f>I62*Assumptions!$E$23</f>
        <v>96.694711020230429</v>
      </c>
      <c r="N62" s="20">
        <f>'Headcount &amp; Payroll'!M40</f>
        <v>149.00022916666666</v>
      </c>
      <c r="O62" s="20">
        <f>'Historical Actuals'!L122*(1+Assumptions!$G$23)</f>
        <v>65.624000000000009</v>
      </c>
      <c r="P62" s="15">
        <f t="shared" si="9"/>
        <v>185.42186129310318</v>
      </c>
      <c r="Q62" s="1"/>
      <c r="R62" s="1"/>
      <c r="S62" s="1"/>
      <c r="T62" s="1"/>
      <c r="U62" s="1"/>
      <c r="V62" s="1"/>
      <c r="W62" s="1"/>
      <c r="X62" s="1"/>
      <c r="Y62" s="1"/>
      <c r="Z62" s="1"/>
    </row>
    <row r="63" spans="1:26">
      <c r="A63" s="12">
        <v>46357</v>
      </c>
      <c r="B63" s="8" t="s">
        <v>71</v>
      </c>
      <c r="C63" s="18">
        <f>'Historical Actuals'!C123</f>
        <v>60522</v>
      </c>
      <c r="D63" s="18">
        <f>C63*(1+Assumptions!$B$24)</f>
        <v>62640.27</v>
      </c>
      <c r="E63" s="19">
        <f>'Historical Actuals'!D123</f>
        <v>19.87</v>
      </c>
      <c r="F63" s="19">
        <f>E63*(1+Assumptions!$C$24)</f>
        <v>20.36675</v>
      </c>
      <c r="G63" s="19">
        <f>'Historical Actuals'!F123</f>
        <v>11.19</v>
      </c>
      <c r="H63" s="19">
        <f>G63*(1+Assumptions!$D$24)</f>
        <v>11.693549999999998</v>
      </c>
      <c r="I63" s="15">
        <f t="shared" si="5"/>
        <v>1275.7787190224999</v>
      </c>
      <c r="J63" s="15">
        <f t="shared" si="6"/>
        <v>732.48712925849986</v>
      </c>
      <c r="K63" s="15">
        <f t="shared" si="7"/>
        <v>543.29158976400004</v>
      </c>
      <c r="L63" s="16">
        <f t="shared" si="8"/>
        <v>0.42585095805663647</v>
      </c>
      <c r="M63" s="20">
        <f>I63*Assumptions!$E$24</f>
        <v>85.477174174507496</v>
      </c>
      <c r="N63" s="20">
        <f>'Headcount &amp; Payroll'!M41</f>
        <v>127.77793749999999</v>
      </c>
      <c r="O63" s="20">
        <f>'Historical Actuals'!L123*(1+Assumptions!$G$24)</f>
        <v>61.654999999999994</v>
      </c>
      <c r="P63" s="15">
        <f t="shared" si="9"/>
        <v>268.38147808949259</v>
      </c>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1">
    <mergeCell ref="A1:P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00"/>
  <sheetViews>
    <sheetView workbookViewId="0">
      <selection sqref="A1:P1"/>
    </sheetView>
  </sheetViews>
  <sheetFormatPr baseColWidth="10" defaultColWidth="8.83203125" defaultRowHeight="15"/>
  <cols>
    <col min="1" max="1" width="12" customWidth="1"/>
    <col min="2" max="2" width="22" customWidth="1"/>
    <col min="3" max="3" width="11" customWidth="1"/>
    <col min="4" max="4" width="12" customWidth="1"/>
    <col min="5" max="5" width="13" customWidth="1"/>
    <col min="6" max="7" width="15" customWidth="1"/>
    <col min="8" max="8" width="14" customWidth="1"/>
    <col min="9" max="9" width="16" customWidth="1"/>
    <col min="10" max="10" width="10" customWidth="1"/>
    <col min="11" max="11" width="15" customWidth="1"/>
    <col min="12" max="12" width="14" customWidth="1"/>
    <col min="13" max="13" width="16" customWidth="1"/>
    <col min="14" max="14" width="15" customWidth="1"/>
    <col min="15" max="15" width="11" customWidth="1"/>
    <col min="16" max="16" width="12" customWidth="1"/>
  </cols>
  <sheetData>
    <row r="1" spans="1:26" ht="37.25" customHeight="1">
      <c r="A1" s="83" t="s">
        <v>106</v>
      </c>
      <c r="B1" s="83"/>
      <c r="C1" s="83"/>
      <c r="D1" s="83"/>
      <c r="E1" s="83"/>
      <c r="F1" s="83"/>
      <c r="G1" s="83"/>
      <c r="H1" s="83"/>
      <c r="I1" s="83"/>
      <c r="J1" s="83"/>
      <c r="K1" s="83"/>
      <c r="L1" s="83"/>
      <c r="M1" s="83"/>
      <c r="N1" s="83"/>
      <c r="O1" s="83"/>
      <c r="P1" s="83"/>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32">
      <c r="A3" s="7" t="s">
        <v>85</v>
      </c>
      <c r="B3" s="7" t="s">
        <v>60</v>
      </c>
      <c r="C3" s="7" t="s">
        <v>107</v>
      </c>
      <c r="D3" s="7" t="s">
        <v>78</v>
      </c>
      <c r="E3" s="7" t="s">
        <v>86</v>
      </c>
      <c r="F3" s="7" t="s">
        <v>87</v>
      </c>
      <c r="G3" s="7" t="s">
        <v>88</v>
      </c>
      <c r="H3" s="7" t="s">
        <v>89</v>
      </c>
      <c r="I3" s="7" t="s">
        <v>90</v>
      </c>
      <c r="J3" s="7" t="s">
        <v>91</v>
      </c>
      <c r="K3" s="7" t="s">
        <v>92</v>
      </c>
      <c r="L3" s="7" t="s">
        <v>93</v>
      </c>
      <c r="M3" s="7" t="s">
        <v>94</v>
      </c>
      <c r="N3" s="7" t="s">
        <v>95</v>
      </c>
      <c r="O3" s="7" t="s">
        <v>96</v>
      </c>
      <c r="P3" s="7" t="s">
        <v>48</v>
      </c>
      <c r="Q3" s="1"/>
      <c r="R3" s="1"/>
      <c r="S3" s="1"/>
      <c r="T3" s="1"/>
      <c r="U3" s="1"/>
      <c r="V3" s="1"/>
      <c r="W3" s="1"/>
      <c r="X3" s="1"/>
      <c r="Y3" s="1"/>
      <c r="Z3" s="1"/>
    </row>
    <row r="4" spans="1:26">
      <c r="A4" s="12">
        <v>46023</v>
      </c>
      <c r="B4" s="8" t="s">
        <v>67</v>
      </c>
      <c r="C4" s="8" t="s">
        <v>98</v>
      </c>
      <c r="D4" s="18">
        <f>'Historical Actuals'!C124</f>
        <v>116195</v>
      </c>
      <c r="E4" s="19">
        <f>'Historical Actuals'!D124</f>
        <v>8.9</v>
      </c>
      <c r="F4" s="15">
        <f>'Historical Actuals'!E124</f>
        <v>1034.1355000000001</v>
      </c>
      <c r="G4" s="19">
        <f>'Historical Actuals'!F124</f>
        <v>4.6100000000000003</v>
      </c>
      <c r="H4" s="15">
        <f>'Historical Actuals'!G124</f>
        <v>535.65895000000012</v>
      </c>
      <c r="I4" s="15">
        <f>'Historical Actuals'!H124</f>
        <v>498.47654999999997</v>
      </c>
      <c r="J4" s="16">
        <f>'Historical Actuals'!I124</f>
        <v>0.48202247191011227</v>
      </c>
      <c r="K4" s="20">
        <f>'Historical Actuals'!J124</f>
        <v>77.5</v>
      </c>
      <c r="L4" s="20">
        <f>'Historical Actuals'!K124</f>
        <v>130.30000000000001</v>
      </c>
      <c r="M4" s="20">
        <f>'Historical Actuals'!L124</f>
        <v>93</v>
      </c>
      <c r="N4" s="15">
        <f>'Historical Actuals'!M124</f>
        <v>197.67654999999996</v>
      </c>
      <c r="O4" s="16">
        <f>'Historical Actuals'!N124</f>
        <v>0.19115149803869991</v>
      </c>
      <c r="P4" s="8" t="s">
        <v>98</v>
      </c>
      <c r="Q4" s="1"/>
      <c r="R4" s="1"/>
      <c r="S4" s="1"/>
      <c r="T4" s="1"/>
      <c r="U4" s="1"/>
      <c r="V4" s="1"/>
      <c r="W4" s="1"/>
      <c r="X4" s="1"/>
      <c r="Y4" s="1"/>
      <c r="Z4" s="1"/>
    </row>
    <row r="5" spans="1:26">
      <c r="A5" s="12">
        <v>46023</v>
      </c>
      <c r="B5" s="8" t="s">
        <v>68</v>
      </c>
      <c r="C5" s="8" t="s">
        <v>98</v>
      </c>
      <c r="D5" s="18">
        <f>'Historical Actuals'!C125</f>
        <v>96461</v>
      </c>
      <c r="E5" s="19">
        <f>'Historical Actuals'!D125</f>
        <v>10.69</v>
      </c>
      <c r="F5" s="15">
        <f>'Historical Actuals'!E125</f>
        <v>1031.1680899999999</v>
      </c>
      <c r="G5" s="19">
        <f>'Historical Actuals'!F125</f>
        <v>5.91</v>
      </c>
      <c r="H5" s="15">
        <f>'Historical Actuals'!G125</f>
        <v>570.08451000000002</v>
      </c>
      <c r="I5" s="15">
        <f>'Historical Actuals'!H125</f>
        <v>461.08357999999987</v>
      </c>
      <c r="J5" s="16">
        <f>'Historical Actuals'!I125</f>
        <v>0.44714686623012151</v>
      </c>
      <c r="K5" s="20">
        <f>'Historical Actuals'!J125</f>
        <v>65.5</v>
      </c>
      <c r="L5" s="20">
        <f>'Historical Actuals'!K125</f>
        <v>110</v>
      </c>
      <c r="M5" s="20">
        <f>'Historical Actuals'!L125</f>
        <v>77.900000000000006</v>
      </c>
      <c r="N5" s="15">
        <f>'Historical Actuals'!M125</f>
        <v>207.68357999999986</v>
      </c>
      <c r="O5" s="16">
        <f>'Historical Actuals'!N125</f>
        <v>0.20140613544393124</v>
      </c>
      <c r="P5" s="8" t="s">
        <v>98</v>
      </c>
      <c r="Q5" s="1"/>
      <c r="R5" s="1"/>
      <c r="S5" s="1"/>
      <c r="T5" s="1"/>
      <c r="U5" s="1"/>
      <c r="V5" s="1"/>
      <c r="W5" s="1"/>
      <c r="X5" s="1"/>
      <c r="Y5" s="1"/>
      <c r="Z5" s="1"/>
    </row>
    <row r="6" spans="1:26">
      <c r="A6" s="12">
        <v>46023</v>
      </c>
      <c r="B6" s="8" t="s">
        <v>69</v>
      </c>
      <c r="C6" s="8" t="s">
        <v>98</v>
      </c>
      <c r="D6" s="18">
        <f>'Historical Actuals'!C126</f>
        <v>76766</v>
      </c>
      <c r="E6" s="19">
        <f>'Historical Actuals'!D126</f>
        <v>15.49</v>
      </c>
      <c r="F6" s="15">
        <f>'Historical Actuals'!E126</f>
        <v>1189.1053400000001</v>
      </c>
      <c r="G6" s="19">
        <f>'Historical Actuals'!F126</f>
        <v>8.19</v>
      </c>
      <c r="H6" s="15">
        <f>'Historical Actuals'!G126</f>
        <v>628.71353999999997</v>
      </c>
      <c r="I6" s="15">
        <f>'Historical Actuals'!H126</f>
        <v>560.3918000000001</v>
      </c>
      <c r="J6" s="16">
        <f>'Historical Actuals'!I126</f>
        <v>0.47127178825048427</v>
      </c>
      <c r="K6" s="20">
        <f>'Historical Actuals'!J126</f>
        <v>100.8</v>
      </c>
      <c r="L6" s="20">
        <f>'Historical Actuals'!K126</f>
        <v>99.3</v>
      </c>
      <c r="M6" s="20">
        <f>'Historical Actuals'!L126</f>
        <v>68.599999999999994</v>
      </c>
      <c r="N6" s="15">
        <f>'Historical Actuals'!M126</f>
        <v>291.69180000000006</v>
      </c>
      <c r="O6" s="16">
        <f>'Historical Actuals'!N126</f>
        <v>0.24530358260774443</v>
      </c>
      <c r="P6" s="8" t="s">
        <v>98</v>
      </c>
      <c r="Q6" s="1"/>
      <c r="R6" s="1"/>
      <c r="S6" s="1"/>
      <c r="T6" s="1"/>
      <c r="U6" s="1"/>
      <c r="V6" s="1"/>
      <c r="W6" s="1"/>
      <c r="X6" s="1"/>
      <c r="Y6" s="1"/>
      <c r="Z6" s="1"/>
    </row>
    <row r="7" spans="1:26">
      <c r="A7" s="12">
        <v>46023</v>
      </c>
      <c r="B7" s="8" t="s">
        <v>70</v>
      </c>
      <c r="C7" s="8" t="s">
        <v>98</v>
      </c>
      <c r="D7" s="18">
        <f>'Historical Actuals'!C127</f>
        <v>63198</v>
      </c>
      <c r="E7" s="19">
        <f>'Historical Actuals'!D127</f>
        <v>13.01</v>
      </c>
      <c r="F7" s="15">
        <f>'Historical Actuals'!E127</f>
        <v>822.20597999999995</v>
      </c>
      <c r="G7" s="19">
        <f>'Historical Actuals'!F127</f>
        <v>6.86</v>
      </c>
      <c r="H7" s="15">
        <f>'Historical Actuals'!G127</f>
        <v>433.53828000000004</v>
      </c>
      <c r="I7" s="15">
        <f>'Historical Actuals'!H127</f>
        <v>388.66769999999991</v>
      </c>
      <c r="J7" s="16">
        <f>'Historical Actuals'!I127</f>
        <v>0.47271329746348956</v>
      </c>
      <c r="K7" s="20">
        <f>'Historical Actuals'!J127</f>
        <v>79.099999999999994</v>
      </c>
      <c r="L7" s="20">
        <f>'Historical Actuals'!K127</f>
        <v>89.9</v>
      </c>
      <c r="M7" s="20">
        <f>'Historical Actuals'!L127</f>
        <v>66.2</v>
      </c>
      <c r="N7" s="15">
        <f>'Historical Actuals'!M127</f>
        <v>153.46769999999992</v>
      </c>
      <c r="O7" s="16">
        <f>'Historical Actuals'!N127</f>
        <v>0.18665359257056235</v>
      </c>
      <c r="P7" s="8" t="s">
        <v>98</v>
      </c>
      <c r="Q7" s="1"/>
      <c r="R7" s="1"/>
      <c r="S7" s="1"/>
      <c r="T7" s="1"/>
      <c r="U7" s="1"/>
      <c r="V7" s="1"/>
      <c r="W7" s="1"/>
      <c r="X7" s="1"/>
      <c r="Y7" s="1"/>
      <c r="Z7" s="1"/>
    </row>
    <row r="8" spans="1:26">
      <c r="A8" s="12">
        <v>46023</v>
      </c>
      <c r="B8" s="8" t="s">
        <v>71</v>
      </c>
      <c r="C8" s="8" t="s">
        <v>98</v>
      </c>
      <c r="D8" s="18">
        <f>'Historical Actuals'!C128</f>
        <v>50047</v>
      </c>
      <c r="E8" s="19">
        <f>'Historical Actuals'!D128</f>
        <v>20.66</v>
      </c>
      <c r="F8" s="15">
        <f>'Historical Actuals'!E128</f>
        <v>1033.97102</v>
      </c>
      <c r="G8" s="19">
        <f>'Historical Actuals'!F128</f>
        <v>11.82</v>
      </c>
      <c r="H8" s="15">
        <f>'Historical Actuals'!G128</f>
        <v>591.55554000000006</v>
      </c>
      <c r="I8" s="15">
        <f>'Historical Actuals'!H128</f>
        <v>442.41547999999989</v>
      </c>
      <c r="J8" s="16">
        <f>'Historical Actuals'!I128</f>
        <v>0.42787996127783146</v>
      </c>
      <c r="K8" s="20">
        <f>'Historical Actuals'!J128</f>
        <v>70.900000000000006</v>
      </c>
      <c r="L8" s="20">
        <f>'Historical Actuals'!K128</f>
        <v>81.900000000000006</v>
      </c>
      <c r="M8" s="20">
        <f>'Historical Actuals'!L128</f>
        <v>61.3</v>
      </c>
      <c r="N8" s="15">
        <f>'Historical Actuals'!M128</f>
        <v>228.31547999999992</v>
      </c>
      <c r="O8" s="16">
        <f>'Historical Actuals'!N128</f>
        <v>0.22081419651394091</v>
      </c>
      <c r="P8" s="8" t="s">
        <v>98</v>
      </c>
      <c r="Q8" s="1"/>
      <c r="R8" s="1"/>
      <c r="S8" s="1"/>
      <c r="T8" s="1"/>
      <c r="U8" s="1"/>
      <c r="V8" s="1"/>
      <c r="W8" s="1"/>
      <c r="X8" s="1"/>
      <c r="Y8" s="1"/>
      <c r="Z8" s="1"/>
    </row>
    <row r="9" spans="1:26">
      <c r="A9" s="12">
        <v>46054</v>
      </c>
      <c r="B9" s="8" t="s">
        <v>67</v>
      </c>
      <c r="C9" s="8" t="s">
        <v>98</v>
      </c>
      <c r="D9" s="18">
        <f>'Historical Actuals'!C129</f>
        <v>120677</v>
      </c>
      <c r="E9" s="19">
        <f>'Historical Actuals'!D129</f>
        <v>8.9</v>
      </c>
      <c r="F9" s="15">
        <f>'Historical Actuals'!E129</f>
        <v>1074.0253</v>
      </c>
      <c r="G9" s="19">
        <f>'Historical Actuals'!F129</f>
        <v>4.5599999999999996</v>
      </c>
      <c r="H9" s="15">
        <f>'Historical Actuals'!G129</f>
        <v>550.28711999999996</v>
      </c>
      <c r="I9" s="15">
        <f>'Historical Actuals'!H129</f>
        <v>523.73818000000006</v>
      </c>
      <c r="J9" s="16">
        <f>'Historical Actuals'!I129</f>
        <v>0.48764044943820228</v>
      </c>
      <c r="K9" s="20">
        <f>'Historical Actuals'!J129</f>
        <v>79.7</v>
      </c>
      <c r="L9" s="20">
        <f>'Historical Actuals'!K129</f>
        <v>130.6</v>
      </c>
      <c r="M9" s="20">
        <f>'Historical Actuals'!L129</f>
        <v>90.9</v>
      </c>
      <c r="N9" s="15">
        <f>'Historical Actuals'!M129</f>
        <v>222.5381800000001</v>
      </c>
      <c r="O9" s="16">
        <f>'Historical Actuals'!N129</f>
        <v>0.20720012833962115</v>
      </c>
      <c r="P9" s="8" t="s">
        <v>98</v>
      </c>
      <c r="Q9" s="1"/>
      <c r="R9" s="1"/>
      <c r="S9" s="1"/>
      <c r="T9" s="1"/>
      <c r="U9" s="1"/>
      <c r="V9" s="1"/>
      <c r="W9" s="1"/>
      <c r="X9" s="1"/>
      <c r="Y9" s="1"/>
      <c r="Z9" s="1"/>
    </row>
    <row r="10" spans="1:26">
      <c r="A10" s="12">
        <v>46054</v>
      </c>
      <c r="B10" s="8" t="s">
        <v>68</v>
      </c>
      <c r="C10" s="8" t="s">
        <v>98</v>
      </c>
      <c r="D10" s="18">
        <f>'Historical Actuals'!C130</f>
        <v>97652</v>
      </c>
      <c r="E10" s="19">
        <f>'Historical Actuals'!D130</f>
        <v>10.72</v>
      </c>
      <c r="F10" s="15">
        <f>'Historical Actuals'!E130</f>
        <v>1046.82944</v>
      </c>
      <c r="G10" s="19">
        <f>'Historical Actuals'!F130</f>
        <v>5.93</v>
      </c>
      <c r="H10" s="15">
        <f>'Historical Actuals'!G130</f>
        <v>579.07636000000002</v>
      </c>
      <c r="I10" s="15">
        <f>'Historical Actuals'!H130</f>
        <v>467.75307999999995</v>
      </c>
      <c r="J10" s="16">
        <f>'Historical Actuals'!I130</f>
        <v>0.44682835820895517</v>
      </c>
      <c r="K10" s="20">
        <f>'Historical Actuals'!J130</f>
        <v>62.4</v>
      </c>
      <c r="L10" s="20">
        <f>'Historical Actuals'!K130</f>
        <v>111.6</v>
      </c>
      <c r="M10" s="20">
        <f>'Historical Actuals'!L130</f>
        <v>77.7</v>
      </c>
      <c r="N10" s="15">
        <f>'Historical Actuals'!M130</f>
        <v>216.05307999999997</v>
      </c>
      <c r="O10" s="16">
        <f>'Historical Actuals'!N130</f>
        <v>0.20638804350019041</v>
      </c>
      <c r="P10" s="8" t="s">
        <v>98</v>
      </c>
      <c r="Q10" s="1"/>
      <c r="R10" s="1"/>
      <c r="S10" s="1"/>
      <c r="T10" s="1"/>
      <c r="U10" s="1"/>
      <c r="V10" s="1"/>
      <c r="W10" s="1"/>
      <c r="X10" s="1"/>
      <c r="Y10" s="1"/>
      <c r="Z10" s="1"/>
    </row>
    <row r="11" spans="1:26">
      <c r="A11" s="12">
        <v>46054</v>
      </c>
      <c r="B11" s="8" t="s">
        <v>69</v>
      </c>
      <c r="C11" s="8" t="s">
        <v>98</v>
      </c>
      <c r="D11" s="18">
        <f>'Historical Actuals'!C131</f>
        <v>77584</v>
      </c>
      <c r="E11" s="19">
        <f>'Historical Actuals'!D131</f>
        <v>15.5</v>
      </c>
      <c r="F11" s="15">
        <f>'Historical Actuals'!E131</f>
        <v>1202.5519999999999</v>
      </c>
      <c r="G11" s="19">
        <f>'Historical Actuals'!F131</f>
        <v>8.19</v>
      </c>
      <c r="H11" s="15">
        <f>'Historical Actuals'!G131</f>
        <v>635.41296</v>
      </c>
      <c r="I11" s="15">
        <f>'Historical Actuals'!H131</f>
        <v>567.13903999999991</v>
      </c>
      <c r="J11" s="16">
        <f>'Historical Actuals'!I131</f>
        <v>0.4716129032258064</v>
      </c>
      <c r="K11" s="20">
        <f>'Historical Actuals'!J131</f>
        <v>106.6</v>
      </c>
      <c r="L11" s="20">
        <f>'Historical Actuals'!K131</f>
        <v>99.1</v>
      </c>
      <c r="M11" s="20">
        <f>'Historical Actuals'!L131</f>
        <v>71.599999999999994</v>
      </c>
      <c r="N11" s="15">
        <f>'Historical Actuals'!M131</f>
        <v>289.83903999999984</v>
      </c>
      <c r="O11" s="16">
        <f>'Historical Actuals'!N131</f>
        <v>0.2410199642094478</v>
      </c>
      <c r="P11" s="8" t="s">
        <v>98</v>
      </c>
      <c r="Q11" s="1"/>
      <c r="R11" s="1"/>
      <c r="S11" s="1"/>
      <c r="T11" s="1"/>
      <c r="U11" s="1"/>
      <c r="V11" s="1"/>
      <c r="W11" s="1"/>
      <c r="X11" s="1"/>
      <c r="Y11" s="1"/>
      <c r="Z11" s="1"/>
    </row>
    <row r="12" spans="1:26">
      <c r="A12" s="12">
        <v>46054</v>
      </c>
      <c r="B12" s="8" t="s">
        <v>70</v>
      </c>
      <c r="C12" s="8" t="s">
        <v>98</v>
      </c>
      <c r="D12" s="18">
        <f>'Historical Actuals'!C132</f>
        <v>63523</v>
      </c>
      <c r="E12" s="19">
        <f>'Historical Actuals'!D132</f>
        <v>13.14</v>
      </c>
      <c r="F12" s="15">
        <f>'Historical Actuals'!E132</f>
        <v>834.69222000000013</v>
      </c>
      <c r="G12" s="19">
        <f>'Historical Actuals'!F132</f>
        <v>6.85</v>
      </c>
      <c r="H12" s="15">
        <f>'Historical Actuals'!G132</f>
        <v>435.13254999999998</v>
      </c>
      <c r="I12" s="15">
        <f>'Historical Actuals'!H132</f>
        <v>399.55967000000015</v>
      </c>
      <c r="J12" s="16">
        <f>'Historical Actuals'!I132</f>
        <v>0.47869101978691031</v>
      </c>
      <c r="K12" s="20">
        <f>'Historical Actuals'!J132</f>
        <v>72.8</v>
      </c>
      <c r="L12" s="20">
        <f>'Historical Actuals'!K132</f>
        <v>89.2</v>
      </c>
      <c r="M12" s="20">
        <f>'Historical Actuals'!L132</f>
        <v>65.5</v>
      </c>
      <c r="N12" s="15">
        <f>'Historical Actuals'!M132</f>
        <v>172.05967000000015</v>
      </c>
      <c r="O12" s="16">
        <f>'Historical Actuals'!N132</f>
        <v>0.2061354663159555</v>
      </c>
      <c r="P12" s="8" t="s">
        <v>98</v>
      </c>
      <c r="Q12" s="1"/>
      <c r="R12" s="1"/>
      <c r="S12" s="1"/>
      <c r="T12" s="1"/>
      <c r="U12" s="1"/>
      <c r="V12" s="1"/>
      <c r="W12" s="1"/>
      <c r="X12" s="1"/>
      <c r="Y12" s="1"/>
      <c r="Z12" s="1"/>
    </row>
    <row r="13" spans="1:26">
      <c r="A13" s="12">
        <v>46054</v>
      </c>
      <c r="B13" s="8" t="s">
        <v>71</v>
      </c>
      <c r="C13" s="8" t="s">
        <v>98</v>
      </c>
      <c r="D13" s="18">
        <f>'Historical Actuals'!C133</f>
        <v>52083</v>
      </c>
      <c r="E13" s="19">
        <f>'Historical Actuals'!D133</f>
        <v>20.38</v>
      </c>
      <c r="F13" s="15">
        <f>'Historical Actuals'!E133</f>
        <v>1061.45154</v>
      </c>
      <c r="G13" s="19">
        <f>'Historical Actuals'!F133</f>
        <v>11.87</v>
      </c>
      <c r="H13" s="15">
        <f>'Historical Actuals'!G133</f>
        <v>618.22520999999995</v>
      </c>
      <c r="I13" s="15">
        <f>'Historical Actuals'!H133</f>
        <v>443.22633000000008</v>
      </c>
      <c r="J13" s="16">
        <f>'Historical Actuals'!I133</f>
        <v>0.41756624141315019</v>
      </c>
      <c r="K13" s="20">
        <f>'Historical Actuals'!J133</f>
        <v>76.900000000000006</v>
      </c>
      <c r="L13" s="20">
        <f>'Historical Actuals'!K133</f>
        <v>81.900000000000006</v>
      </c>
      <c r="M13" s="20">
        <f>'Historical Actuals'!L133</f>
        <v>60.4</v>
      </c>
      <c r="N13" s="15">
        <f>'Historical Actuals'!M133</f>
        <v>224.02633000000012</v>
      </c>
      <c r="O13" s="16">
        <f>'Historical Actuals'!N133</f>
        <v>0.21105657824002036</v>
      </c>
      <c r="P13" s="8" t="s">
        <v>98</v>
      </c>
      <c r="Q13" s="1"/>
      <c r="R13" s="1"/>
      <c r="S13" s="1"/>
      <c r="T13" s="1"/>
      <c r="U13" s="1"/>
      <c r="V13" s="1"/>
      <c r="W13" s="1"/>
      <c r="X13" s="1"/>
      <c r="Y13" s="1"/>
      <c r="Z13" s="1"/>
    </row>
    <row r="14" spans="1:26">
      <c r="A14" s="12">
        <v>46082</v>
      </c>
      <c r="B14" s="8" t="s">
        <v>67</v>
      </c>
      <c r="C14" s="8" t="s">
        <v>98</v>
      </c>
      <c r="D14" s="18">
        <f>'Historical Actuals'!C134</f>
        <v>130294</v>
      </c>
      <c r="E14" s="19">
        <f>'Historical Actuals'!D134</f>
        <v>8.84</v>
      </c>
      <c r="F14" s="15">
        <f>'Historical Actuals'!E134</f>
        <v>1151.7989599999999</v>
      </c>
      <c r="G14" s="19">
        <f>'Historical Actuals'!F134</f>
        <v>4.5999999999999996</v>
      </c>
      <c r="H14" s="15">
        <f>'Historical Actuals'!G134</f>
        <v>599.35239999999988</v>
      </c>
      <c r="I14" s="15">
        <f>'Historical Actuals'!H134</f>
        <v>552.44655999999998</v>
      </c>
      <c r="J14" s="16">
        <f>'Historical Actuals'!I134</f>
        <v>0.47963800904977377</v>
      </c>
      <c r="K14" s="20">
        <f>'Historical Actuals'!J134</f>
        <v>85.3</v>
      </c>
      <c r="L14" s="20">
        <f>'Historical Actuals'!K134</f>
        <v>126</v>
      </c>
      <c r="M14" s="20">
        <f>'Historical Actuals'!L134</f>
        <v>92</v>
      </c>
      <c r="N14" s="15">
        <f>'Historical Actuals'!M134</f>
        <v>249.14655999999997</v>
      </c>
      <c r="O14" s="16">
        <f>'Historical Actuals'!N134</f>
        <v>0.21631080479530906</v>
      </c>
      <c r="P14" s="8" t="s">
        <v>98</v>
      </c>
      <c r="Q14" s="1"/>
      <c r="R14" s="1"/>
      <c r="S14" s="1"/>
      <c r="T14" s="1"/>
      <c r="U14" s="1"/>
      <c r="V14" s="1"/>
      <c r="W14" s="1"/>
      <c r="X14" s="1"/>
      <c r="Y14" s="1"/>
      <c r="Z14" s="1"/>
    </row>
    <row r="15" spans="1:26">
      <c r="A15" s="12">
        <v>46082</v>
      </c>
      <c r="B15" s="8" t="s">
        <v>68</v>
      </c>
      <c r="C15" s="8" t="s">
        <v>98</v>
      </c>
      <c r="D15" s="18">
        <f>'Historical Actuals'!C135</f>
        <v>104872</v>
      </c>
      <c r="E15" s="19">
        <f>'Historical Actuals'!D135</f>
        <v>10.69</v>
      </c>
      <c r="F15" s="15">
        <f>'Historical Actuals'!E135</f>
        <v>1121.08168</v>
      </c>
      <c r="G15" s="19">
        <f>'Historical Actuals'!F135</f>
        <v>5.98</v>
      </c>
      <c r="H15" s="15">
        <f>'Historical Actuals'!G135</f>
        <v>627.13456000000008</v>
      </c>
      <c r="I15" s="15">
        <f>'Historical Actuals'!H135</f>
        <v>493.94711999999993</v>
      </c>
      <c r="J15" s="16">
        <f>'Historical Actuals'!I135</f>
        <v>0.44059869036482685</v>
      </c>
      <c r="K15" s="20">
        <f>'Historical Actuals'!J135</f>
        <v>67.099999999999994</v>
      </c>
      <c r="L15" s="20">
        <f>'Historical Actuals'!K135</f>
        <v>112.5</v>
      </c>
      <c r="M15" s="20">
        <f>'Historical Actuals'!L135</f>
        <v>77.099999999999994</v>
      </c>
      <c r="N15" s="15">
        <f>'Historical Actuals'!M135</f>
        <v>237.24711999999991</v>
      </c>
      <c r="O15" s="16">
        <f>'Historical Actuals'!N135</f>
        <v>0.21162340285499975</v>
      </c>
      <c r="P15" s="8" t="s">
        <v>98</v>
      </c>
      <c r="Q15" s="1"/>
      <c r="R15" s="1"/>
      <c r="S15" s="1"/>
      <c r="T15" s="1"/>
      <c r="U15" s="1"/>
      <c r="V15" s="1"/>
      <c r="W15" s="1"/>
      <c r="X15" s="1"/>
      <c r="Y15" s="1"/>
      <c r="Z15" s="1"/>
    </row>
    <row r="16" spans="1:26">
      <c r="A16" s="12">
        <v>46082</v>
      </c>
      <c r="B16" s="8" t="s">
        <v>69</v>
      </c>
      <c r="C16" s="8" t="s">
        <v>98</v>
      </c>
      <c r="D16" s="18">
        <f>'Historical Actuals'!C136</f>
        <v>81514</v>
      </c>
      <c r="E16" s="19">
        <f>'Historical Actuals'!D136</f>
        <v>15.66</v>
      </c>
      <c r="F16" s="15">
        <f>'Historical Actuals'!E136</f>
        <v>1276.5092400000001</v>
      </c>
      <c r="G16" s="19">
        <f>'Historical Actuals'!F136</f>
        <v>8.1300000000000008</v>
      </c>
      <c r="H16" s="15">
        <f>'Historical Actuals'!G136</f>
        <v>662.70882000000006</v>
      </c>
      <c r="I16" s="15">
        <f>'Historical Actuals'!H136</f>
        <v>613.80042000000003</v>
      </c>
      <c r="J16" s="16">
        <f>'Historical Actuals'!I136</f>
        <v>0.48084291187739464</v>
      </c>
      <c r="K16" s="20">
        <f>'Historical Actuals'!J136</f>
        <v>110.9</v>
      </c>
      <c r="L16" s="20">
        <f>'Historical Actuals'!K136</f>
        <v>98.9</v>
      </c>
      <c r="M16" s="20">
        <f>'Historical Actuals'!L136</f>
        <v>72.8</v>
      </c>
      <c r="N16" s="15">
        <f>'Historical Actuals'!M136</f>
        <v>331.20042000000007</v>
      </c>
      <c r="O16" s="16">
        <f>'Historical Actuals'!N136</f>
        <v>0.25945791038692367</v>
      </c>
      <c r="P16" s="8" t="s">
        <v>98</v>
      </c>
      <c r="Q16" s="1"/>
      <c r="R16" s="1"/>
      <c r="S16" s="1"/>
      <c r="T16" s="1"/>
      <c r="U16" s="1"/>
      <c r="V16" s="1"/>
      <c r="W16" s="1"/>
      <c r="X16" s="1"/>
      <c r="Y16" s="1"/>
      <c r="Z16" s="1"/>
    </row>
    <row r="17" spans="1:26">
      <c r="A17" s="12">
        <v>46082</v>
      </c>
      <c r="B17" s="8" t="s">
        <v>70</v>
      </c>
      <c r="C17" s="8" t="s">
        <v>98</v>
      </c>
      <c r="D17" s="18">
        <f>'Historical Actuals'!C137</f>
        <v>68036</v>
      </c>
      <c r="E17" s="19">
        <f>'Historical Actuals'!D137</f>
        <v>13.11</v>
      </c>
      <c r="F17" s="15">
        <f>'Historical Actuals'!E137</f>
        <v>891.95195999999999</v>
      </c>
      <c r="G17" s="19">
        <f>'Historical Actuals'!F137</f>
        <v>6.8</v>
      </c>
      <c r="H17" s="15">
        <f>'Historical Actuals'!G137</f>
        <v>462.64479999999998</v>
      </c>
      <c r="I17" s="15">
        <f>'Historical Actuals'!H137</f>
        <v>429.30716000000001</v>
      </c>
      <c r="J17" s="16">
        <f>'Historical Actuals'!I137</f>
        <v>0.4813119755911518</v>
      </c>
      <c r="K17" s="20">
        <f>'Historical Actuals'!J137</f>
        <v>78.599999999999994</v>
      </c>
      <c r="L17" s="20">
        <f>'Historical Actuals'!K137</f>
        <v>91.1</v>
      </c>
      <c r="M17" s="20">
        <f>'Historical Actuals'!L137</f>
        <v>67.5</v>
      </c>
      <c r="N17" s="15">
        <f>'Historical Actuals'!M137</f>
        <v>192.10716000000002</v>
      </c>
      <c r="O17" s="16">
        <f>'Historical Actuals'!N137</f>
        <v>0.21537837082615977</v>
      </c>
      <c r="P17" s="8" t="s">
        <v>98</v>
      </c>
      <c r="Q17" s="1"/>
      <c r="R17" s="1"/>
      <c r="S17" s="1"/>
      <c r="T17" s="1"/>
      <c r="U17" s="1"/>
      <c r="V17" s="1"/>
      <c r="W17" s="1"/>
      <c r="X17" s="1"/>
      <c r="Y17" s="1"/>
      <c r="Z17" s="1"/>
    </row>
    <row r="18" spans="1:26">
      <c r="A18" s="12">
        <v>46082</v>
      </c>
      <c r="B18" s="8" t="s">
        <v>71</v>
      </c>
      <c r="C18" s="8" t="s">
        <v>98</v>
      </c>
      <c r="D18" s="18">
        <f>'Historical Actuals'!C138</f>
        <v>54039</v>
      </c>
      <c r="E18" s="19">
        <f>'Historical Actuals'!D138</f>
        <v>20.399999999999999</v>
      </c>
      <c r="F18" s="15">
        <f>'Historical Actuals'!E138</f>
        <v>1102.3955999999998</v>
      </c>
      <c r="G18" s="19">
        <f>'Historical Actuals'!F138</f>
        <v>11.74</v>
      </c>
      <c r="H18" s="15">
        <f>'Historical Actuals'!G138</f>
        <v>634.41786000000002</v>
      </c>
      <c r="I18" s="15">
        <f>'Historical Actuals'!H138</f>
        <v>467.97773999999981</v>
      </c>
      <c r="J18" s="16">
        <f>'Historical Actuals'!I138</f>
        <v>0.42450980392156851</v>
      </c>
      <c r="K18" s="20">
        <f>'Historical Actuals'!J138</f>
        <v>73.099999999999994</v>
      </c>
      <c r="L18" s="20">
        <f>'Historical Actuals'!K138</f>
        <v>82.3</v>
      </c>
      <c r="M18" s="20">
        <f>'Historical Actuals'!L138</f>
        <v>62.2</v>
      </c>
      <c r="N18" s="15">
        <f>'Historical Actuals'!M138</f>
        <v>250.37773999999979</v>
      </c>
      <c r="O18" s="16">
        <f>'Historical Actuals'!N138</f>
        <v>0.22712149794502068</v>
      </c>
      <c r="P18" s="8" t="s">
        <v>98</v>
      </c>
      <c r="Q18" s="1"/>
      <c r="R18" s="1"/>
      <c r="S18" s="1"/>
      <c r="T18" s="1"/>
      <c r="U18" s="1"/>
      <c r="V18" s="1"/>
      <c r="W18" s="1"/>
      <c r="X18" s="1"/>
      <c r="Y18" s="1"/>
      <c r="Z18" s="1"/>
    </row>
    <row r="19" spans="1:26">
      <c r="A19" s="12">
        <v>46113</v>
      </c>
      <c r="B19" s="8" t="s">
        <v>67</v>
      </c>
      <c r="C19" s="8" t="s">
        <v>98</v>
      </c>
      <c r="D19" s="18">
        <f>'Historical Actuals'!C139</f>
        <v>128218</v>
      </c>
      <c r="E19" s="19">
        <f>'Historical Actuals'!D139</f>
        <v>8.81</v>
      </c>
      <c r="F19" s="15">
        <f>'Historical Actuals'!E139</f>
        <v>1129.60058</v>
      </c>
      <c r="G19" s="19">
        <f>'Historical Actuals'!F139</f>
        <v>4.54</v>
      </c>
      <c r="H19" s="15">
        <f>'Historical Actuals'!G139</f>
        <v>582.10971999999992</v>
      </c>
      <c r="I19" s="15">
        <f>'Historical Actuals'!H139</f>
        <v>547.49086000000011</v>
      </c>
      <c r="J19" s="16">
        <f>'Historical Actuals'!I139</f>
        <v>0.4846765039727583</v>
      </c>
      <c r="K19" s="20">
        <f>'Historical Actuals'!J139</f>
        <v>86.2</v>
      </c>
      <c r="L19" s="20">
        <f>'Historical Actuals'!K139</f>
        <v>127.9</v>
      </c>
      <c r="M19" s="20">
        <f>'Historical Actuals'!L139</f>
        <v>88.2</v>
      </c>
      <c r="N19" s="15">
        <f>'Historical Actuals'!M139</f>
        <v>245.1908600000001</v>
      </c>
      <c r="O19" s="16">
        <f>'Historical Actuals'!N139</f>
        <v>0.21705978585811286</v>
      </c>
      <c r="P19" s="8" t="s">
        <v>98</v>
      </c>
      <c r="Q19" s="1"/>
      <c r="R19" s="1"/>
      <c r="S19" s="1"/>
      <c r="T19" s="1"/>
      <c r="U19" s="1"/>
      <c r="V19" s="1"/>
      <c r="W19" s="1"/>
      <c r="X19" s="1"/>
      <c r="Y19" s="1"/>
      <c r="Z19" s="1"/>
    </row>
    <row r="20" spans="1:26">
      <c r="A20" s="12">
        <v>46113</v>
      </c>
      <c r="B20" s="8" t="s">
        <v>68</v>
      </c>
      <c r="C20" s="8" t="s">
        <v>98</v>
      </c>
      <c r="D20" s="18">
        <f>'Historical Actuals'!C140</f>
        <v>104463</v>
      </c>
      <c r="E20" s="19">
        <f>'Historical Actuals'!D140</f>
        <v>10.65</v>
      </c>
      <c r="F20" s="15">
        <f>'Historical Actuals'!E140</f>
        <v>1112.5309499999998</v>
      </c>
      <c r="G20" s="19">
        <f>'Historical Actuals'!F140</f>
        <v>6.01</v>
      </c>
      <c r="H20" s="15">
        <f>'Historical Actuals'!G140</f>
        <v>627.82263</v>
      </c>
      <c r="I20" s="15">
        <f>'Historical Actuals'!H140</f>
        <v>484.70831999999984</v>
      </c>
      <c r="J20" s="16">
        <f>'Historical Actuals'!I140</f>
        <v>0.43568075117370886</v>
      </c>
      <c r="K20" s="20">
        <f>'Historical Actuals'!J140</f>
        <v>70.099999999999994</v>
      </c>
      <c r="L20" s="20">
        <f>'Historical Actuals'!K140</f>
        <v>111.9</v>
      </c>
      <c r="M20" s="20">
        <f>'Historical Actuals'!L140</f>
        <v>76.400000000000006</v>
      </c>
      <c r="N20" s="15">
        <f>'Historical Actuals'!M140</f>
        <v>226.30831999999984</v>
      </c>
      <c r="O20" s="16">
        <f>'Historical Actuals'!N140</f>
        <v>0.20341754986681482</v>
      </c>
      <c r="P20" s="8" t="s">
        <v>98</v>
      </c>
      <c r="Q20" s="1"/>
      <c r="R20" s="1"/>
      <c r="S20" s="1"/>
      <c r="T20" s="1"/>
      <c r="U20" s="1"/>
      <c r="V20" s="1"/>
      <c r="W20" s="1"/>
      <c r="X20" s="1"/>
      <c r="Y20" s="1"/>
      <c r="Z20" s="1"/>
    </row>
    <row r="21" spans="1:26">
      <c r="A21" s="12">
        <v>46113</v>
      </c>
      <c r="B21" s="8" t="s">
        <v>69</v>
      </c>
      <c r="C21" s="8" t="s">
        <v>98</v>
      </c>
      <c r="D21" s="18">
        <f>'Historical Actuals'!C141</f>
        <v>81127</v>
      </c>
      <c r="E21" s="19">
        <f>'Historical Actuals'!D141</f>
        <v>15.65</v>
      </c>
      <c r="F21" s="15">
        <f>'Historical Actuals'!E141</f>
        <v>1269.6375500000001</v>
      </c>
      <c r="G21" s="19">
        <f>'Historical Actuals'!F141</f>
        <v>8.27</v>
      </c>
      <c r="H21" s="15">
        <f>'Historical Actuals'!G141</f>
        <v>670.92028999999991</v>
      </c>
      <c r="I21" s="15">
        <f>'Historical Actuals'!H141</f>
        <v>598.71726000000024</v>
      </c>
      <c r="J21" s="16">
        <f>'Historical Actuals'!I141</f>
        <v>0.47156549520766788</v>
      </c>
      <c r="K21" s="20">
        <f>'Historical Actuals'!J141</f>
        <v>105.3</v>
      </c>
      <c r="L21" s="20">
        <f>'Historical Actuals'!K141</f>
        <v>97.1</v>
      </c>
      <c r="M21" s="20">
        <f>'Historical Actuals'!L141</f>
        <v>70.599999999999994</v>
      </c>
      <c r="N21" s="15">
        <f>'Historical Actuals'!M141</f>
        <v>325.71726000000024</v>
      </c>
      <c r="O21" s="16">
        <f>'Historical Actuals'!N141</f>
        <v>0.25654349936326332</v>
      </c>
      <c r="P21" s="8" t="s">
        <v>98</v>
      </c>
      <c r="Q21" s="1"/>
      <c r="R21" s="1"/>
      <c r="S21" s="1"/>
      <c r="T21" s="1"/>
      <c r="U21" s="1"/>
      <c r="V21" s="1"/>
      <c r="W21" s="1"/>
      <c r="X21" s="1"/>
      <c r="Y21" s="1"/>
      <c r="Z21" s="1"/>
    </row>
    <row r="22" spans="1:26">
      <c r="A22" s="12">
        <v>46113</v>
      </c>
      <c r="B22" s="8" t="s">
        <v>70</v>
      </c>
      <c r="C22" s="8" t="s">
        <v>98</v>
      </c>
      <c r="D22" s="18">
        <f>'Historical Actuals'!C142</f>
        <v>69120</v>
      </c>
      <c r="E22" s="19">
        <f>'Historical Actuals'!D142</f>
        <v>13.12</v>
      </c>
      <c r="F22" s="15">
        <f>'Historical Actuals'!E142</f>
        <v>906.85439999999994</v>
      </c>
      <c r="G22" s="19">
        <f>'Historical Actuals'!F142</f>
        <v>6.89</v>
      </c>
      <c r="H22" s="15">
        <f>'Historical Actuals'!G142</f>
        <v>476.23680000000002</v>
      </c>
      <c r="I22" s="15">
        <f>'Historical Actuals'!H142</f>
        <v>430.61759999999992</v>
      </c>
      <c r="J22" s="16">
        <f>'Historical Actuals'!I142</f>
        <v>0.47484756097560971</v>
      </c>
      <c r="K22" s="20">
        <f>'Historical Actuals'!J142</f>
        <v>81.7</v>
      </c>
      <c r="L22" s="20">
        <f>'Historical Actuals'!K142</f>
        <v>90.8</v>
      </c>
      <c r="M22" s="20">
        <f>'Historical Actuals'!L142</f>
        <v>65.099999999999994</v>
      </c>
      <c r="N22" s="15">
        <f>'Historical Actuals'!M142</f>
        <v>193.01759999999993</v>
      </c>
      <c r="O22" s="16">
        <f>'Historical Actuals'!N142</f>
        <v>0.21284298780487798</v>
      </c>
      <c r="P22" s="8" t="s">
        <v>98</v>
      </c>
      <c r="Q22" s="1"/>
      <c r="R22" s="1"/>
      <c r="S22" s="1"/>
      <c r="T22" s="1"/>
      <c r="U22" s="1"/>
      <c r="V22" s="1"/>
      <c r="W22" s="1"/>
      <c r="X22" s="1"/>
      <c r="Y22" s="1"/>
      <c r="Z22" s="1"/>
    </row>
    <row r="23" spans="1:26">
      <c r="A23" s="12">
        <v>46113</v>
      </c>
      <c r="B23" s="8" t="s">
        <v>71</v>
      </c>
      <c r="C23" s="8" t="s">
        <v>98</v>
      </c>
      <c r="D23" s="18">
        <f>'Historical Actuals'!C143</f>
        <v>55475</v>
      </c>
      <c r="E23" s="19">
        <f>'Historical Actuals'!D143</f>
        <v>20.48</v>
      </c>
      <c r="F23" s="15">
        <f>'Historical Actuals'!E143</f>
        <v>1136.1279999999999</v>
      </c>
      <c r="G23" s="19">
        <f>'Historical Actuals'!F143</f>
        <v>11.77</v>
      </c>
      <c r="H23" s="15">
        <f>'Historical Actuals'!G143</f>
        <v>652.94074999999998</v>
      </c>
      <c r="I23" s="15">
        <f>'Historical Actuals'!H143</f>
        <v>483.18724999999995</v>
      </c>
      <c r="J23" s="16">
        <f>'Historical Actuals'!I143</f>
        <v>0.42529296875</v>
      </c>
      <c r="K23" s="20">
        <f>'Historical Actuals'!J143</f>
        <v>73</v>
      </c>
      <c r="L23" s="20">
        <f>'Historical Actuals'!K143</f>
        <v>82</v>
      </c>
      <c r="M23" s="20">
        <f>'Historical Actuals'!L143</f>
        <v>64.099999999999994</v>
      </c>
      <c r="N23" s="15">
        <f>'Historical Actuals'!M143</f>
        <v>264.08724999999993</v>
      </c>
      <c r="O23" s="16">
        <f>'Historical Actuals'!N143</f>
        <v>0.23244497979100942</v>
      </c>
      <c r="P23" s="8" t="s">
        <v>98</v>
      </c>
      <c r="Q23" s="1"/>
      <c r="R23" s="1"/>
      <c r="S23" s="1"/>
      <c r="T23" s="1"/>
      <c r="U23" s="1"/>
      <c r="V23" s="1"/>
      <c r="W23" s="1"/>
      <c r="X23" s="1"/>
      <c r="Y23" s="1"/>
      <c r="Z23" s="1"/>
    </row>
    <row r="24" spans="1:26">
      <c r="A24" s="12">
        <v>46143</v>
      </c>
      <c r="B24" s="8" t="s">
        <v>67</v>
      </c>
      <c r="C24" s="8" t="s">
        <v>98</v>
      </c>
      <c r="D24" s="18">
        <f>'Historical Actuals'!C144</f>
        <v>130981</v>
      </c>
      <c r="E24" s="19">
        <f>'Historical Actuals'!D144</f>
        <v>8.86</v>
      </c>
      <c r="F24" s="15">
        <f>'Historical Actuals'!E144</f>
        <v>1160.4916599999999</v>
      </c>
      <c r="G24" s="19">
        <f>'Historical Actuals'!F144</f>
        <v>4.59</v>
      </c>
      <c r="H24" s="15">
        <f>'Historical Actuals'!G144</f>
        <v>601.20279000000005</v>
      </c>
      <c r="I24" s="15">
        <f>'Historical Actuals'!H144</f>
        <v>559.28886999999986</v>
      </c>
      <c r="J24" s="16">
        <f>'Historical Actuals'!I144</f>
        <v>0.48194130925507894</v>
      </c>
      <c r="K24" s="20">
        <f>'Historical Actuals'!J144</f>
        <v>90.8</v>
      </c>
      <c r="L24" s="20">
        <f>'Historical Actuals'!K144</f>
        <v>129.69999999999999</v>
      </c>
      <c r="M24" s="20">
        <f>'Historical Actuals'!L144</f>
        <v>92.1</v>
      </c>
      <c r="N24" s="15">
        <f>'Historical Actuals'!M144</f>
        <v>246.68886999999987</v>
      </c>
      <c r="O24" s="16">
        <f>'Historical Actuals'!N144</f>
        <v>0.2125727211171857</v>
      </c>
      <c r="P24" s="8" t="s">
        <v>98</v>
      </c>
      <c r="Q24" s="1"/>
      <c r="R24" s="1"/>
      <c r="S24" s="1"/>
      <c r="T24" s="1"/>
      <c r="U24" s="1"/>
      <c r="V24" s="1"/>
      <c r="W24" s="1"/>
      <c r="X24" s="1"/>
      <c r="Y24" s="1"/>
      <c r="Z24" s="1"/>
    </row>
    <row r="25" spans="1:26">
      <c r="A25" s="12">
        <v>46143</v>
      </c>
      <c r="B25" s="8" t="s">
        <v>68</v>
      </c>
      <c r="C25" s="8" t="s">
        <v>98</v>
      </c>
      <c r="D25" s="18">
        <f>'Historical Actuals'!C145</f>
        <v>104674</v>
      </c>
      <c r="E25" s="19">
        <f>'Historical Actuals'!D145</f>
        <v>10.7</v>
      </c>
      <c r="F25" s="15">
        <f>'Historical Actuals'!E145</f>
        <v>1120.0117999999998</v>
      </c>
      <c r="G25" s="19">
        <f>'Historical Actuals'!F145</f>
        <v>6</v>
      </c>
      <c r="H25" s="15">
        <f>'Historical Actuals'!G145</f>
        <v>628.04399999999998</v>
      </c>
      <c r="I25" s="15">
        <f>'Historical Actuals'!H145</f>
        <v>491.96779999999978</v>
      </c>
      <c r="J25" s="16">
        <f>'Historical Actuals'!I145</f>
        <v>0.43925233644859801</v>
      </c>
      <c r="K25" s="20">
        <f>'Historical Actuals'!J145</f>
        <v>71.099999999999994</v>
      </c>
      <c r="L25" s="20">
        <f>'Historical Actuals'!K145</f>
        <v>112.2</v>
      </c>
      <c r="M25" s="20">
        <f>'Historical Actuals'!L145</f>
        <v>74.5</v>
      </c>
      <c r="N25" s="15">
        <f>'Historical Actuals'!M145</f>
        <v>234.16779999999977</v>
      </c>
      <c r="O25" s="16">
        <f>'Historical Actuals'!N145</f>
        <v>0.20907619009013997</v>
      </c>
      <c r="P25" s="8" t="s">
        <v>98</v>
      </c>
      <c r="Q25" s="1"/>
      <c r="R25" s="1"/>
      <c r="S25" s="1"/>
      <c r="T25" s="1"/>
      <c r="U25" s="1"/>
      <c r="V25" s="1"/>
      <c r="W25" s="1"/>
      <c r="X25" s="1"/>
      <c r="Y25" s="1"/>
      <c r="Z25" s="1"/>
    </row>
    <row r="26" spans="1:26">
      <c r="A26" s="12">
        <v>46143</v>
      </c>
      <c r="B26" s="8" t="s">
        <v>69</v>
      </c>
      <c r="C26" s="8" t="s">
        <v>98</v>
      </c>
      <c r="D26" s="18">
        <f>'Historical Actuals'!C146</f>
        <v>80118</v>
      </c>
      <c r="E26" s="19">
        <f>'Historical Actuals'!D146</f>
        <v>15.6</v>
      </c>
      <c r="F26" s="15">
        <f>'Historical Actuals'!E146</f>
        <v>1249.8407999999999</v>
      </c>
      <c r="G26" s="19">
        <f>'Historical Actuals'!F146</f>
        <v>8.26</v>
      </c>
      <c r="H26" s="15">
        <f>'Historical Actuals'!G146</f>
        <v>661.77467999999999</v>
      </c>
      <c r="I26" s="15">
        <f>'Historical Actuals'!H146</f>
        <v>588.06611999999996</v>
      </c>
      <c r="J26" s="16">
        <f>'Historical Actuals'!I146</f>
        <v>0.47051282051282051</v>
      </c>
      <c r="K26" s="20">
        <f>'Historical Actuals'!J146</f>
        <v>112</v>
      </c>
      <c r="L26" s="20">
        <f>'Historical Actuals'!K146</f>
        <v>100.6</v>
      </c>
      <c r="M26" s="20">
        <f>'Historical Actuals'!L146</f>
        <v>70.3</v>
      </c>
      <c r="N26" s="15">
        <f>'Historical Actuals'!M146</f>
        <v>305.16611999999992</v>
      </c>
      <c r="O26" s="16">
        <f>'Historical Actuals'!N146</f>
        <v>0.24416399272611355</v>
      </c>
      <c r="P26" s="8" t="s">
        <v>98</v>
      </c>
      <c r="Q26" s="1"/>
      <c r="R26" s="1"/>
      <c r="S26" s="1"/>
      <c r="T26" s="1"/>
      <c r="U26" s="1"/>
      <c r="V26" s="1"/>
      <c r="W26" s="1"/>
      <c r="X26" s="1"/>
      <c r="Y26" s="1"/>
      <c r="Z26" s="1"/>
    </row>
    <row r="27" spans="1:26">
      <c r="A27" s="12">
        <v>46143</v>
      </c>
      <c r="B27" s="8" t="s">
        <v>70</v>
      </c>
      <c r="C27" s="8" t="s">
        <v>98</v>
      </c>
      <c r="D27" s="18">
        <f>'Historical Actuals'!C147</f>
        <v>68758</v>
      </c>
      <c r="E27" s="19">
        <f>'Historical Actuals'!D147</f>
        <v>13.07</v>
      </c>
      <c r="F27" s="15">
        <f>'Historical Actuals'!E147</f>
        <v>898.66706000000011</v>
      </c>
      <c r="G27" s="19">
        <f>'Historical Actuals'!F147</f>
        <v>6.89</v>
      </c>
      <c r="H27" s="15">
        <f>'Historical Actuals'!G147</f>
        <v>473.74261999999999</v>
      </c>
      <c r="I27" s="15">
        <f>'Historical Actuals'!H147</f>
        <v>424.92444000000012</v>
      </c>
      <c r="J27" s="16">
        <f>'Historical Actuals'!I147</f>
        <v>0.47283856159143084</v>
      </c>
      <c r="K27" s="20">
        <f>'Historical Actuals'!J147</f>
        <v>81.099999999999994</v>
      </c>
      <c r="L27" s="20">
        <f>'Historical Actuals'!K147</f>
        <v>91.6</v>
      </c>
      <c r="M27" s="20">
        <f>'Historical Actuals'!L147</f>
        <v>67.099999999999994</v>
      </c>
      <c r="N27" s="15">
        <f>'Historical Actuals'!M147</f>
        <v>185.12444000000011</v>
      </c>
      <c r="O27" s="16">
        <f>'Historical Actuals'!N147</f>
        <v>0.20599891577198801</v>
      </c>
      <c r="P27" s="8" t="s">
        <v>98</v>
      </c>
      <c r="Q27" s="1"/>
      <c r="R27" s="1"/>
      <c r="S27" s="1"/>
      <c r="T27" s="1"/>
      <c r="U27" s="1"/>
      <c r="V27" s="1"/>
      <c r="W27" s="1"/>
      <c r="X27" s="1"/>
      <c r="Y27" s="1"/>
      <c r="Z27" s="1"/>
    </row>
    <row r="28" spans="1:26">
      <c r="A28" s="12">
        <v>46143</v>
      </c>
      <c r="B28" s="8" t="s">
        <v>71</v>
      </c>
      <c r="C28" s="8" t="s">
        <v>98</v>
      </c>
      <c r="D28" s="18">
        <f>'Historical Actuals'!C148</f>
        <v>54475</v>
      </c>
      <c r="E28" s="19">
        <f>'Historical Actuals'!D148</f>
        <v>20.61</v>
      </c>
      <c r="F28" s="15">
        <f>'Historical Actuals'!E148</f>
        <v>1122.72975</v>
      </c>
      <c r="G28" s="19">
        <f>'Historical Actuals'!F148</f>
        <v>11.67</v>
      </c>
      <c r="H28" s="15">
        <f>'Historical Actuals'!G148</f>
        <v>635.72325000000001</v>
      </c>
      <c r="I28" s="15">
        <f>'Historical Actuals'!H148</f>
        <v>487.00649999999996</v>
      </c>
      <c r="J28" s="16">
        <f>'Historical Actuals'!I148</f>
        <v>0.43377001455604075</v>
      </c>
      <c r="K28" s="20">
        <f>'Historical Actuals'!J148</f>
        <v>74.8</v>
      </c>
      <c r="L28" s="20">
        <f>'Historical Actuals'!K148</f>
        <v>80.599999999999994</v>
      </c>
      <c r="M28" s="20">
        <f>'Historical Actuals'!L148</f>
        <v>62.2</v>
      </c>
      <c r="N28" s="15">
        <f>'Historical Actuals'!M148</f>
        <v>269.40649999999999</v>
      </c>
      <c r="O28" s="16">
        <f>'Historical Actuals'!N148</f>
        <v>0.23995667701866813</v>
      </c>
      <c r="P28" s="8" t="s">
        <v>98</v>
      </c>
      <c r="Q28" s="1"/>
      <c r="R28" s="1"/>
      <c r="S28" s="1"/>
      <c r="T28" s="1"/>
      <c r="U28" s="1"/>
      <c r="V28" s="1"/>
      <c r="W28" s="1"/>
      <c r="X28" s="1"/>
      <c r="Y28" s="1"/>
      <c r="Z28" s="1"/>
    </row>
    <row r="29" spans="1:26">
      <c r="A29" s="12">
        <v>46174</v>
      </c>
      <c r="B29" s="8" t="s">
        <v>67</v>
      </c>
      <c r="C29" s="8" t="s">
        <v>98</v>
      </c>
      <c r="D29" s="18">
        <f>'Historical Actuals'!C149</f>
        <v>135674</v>
      </c>
      <c r="E29" s="19">
        <f>'Historical Actuals'!D149</f>
        <v>8.8800000000000008</v>
      </c>
      <c r="F29" s="15">
        <f>'Historical Actuals'!E149</f>
        <v>1204.78512</v>
      </c>
      <c r="G29" s="19">
        <f>'Historical Actuals'!F149</f>
        <v>4.54</v>
      </c>
      <c r="H29" s="15">
        <f>'Historical Actuals'!G149</f>
        <v>615.95995999999991</v>
      </c>
      <c r="I29" s="15">
        <f>'Historical Actuals'!H149</f>
        <v>588.8251600000001</v>
      </c>
      <c r="J29" s="16">
        <f>'Historical Actuals'!I149</f>
        <v>0.4887387387387388</v>
      </c>
      <c r="K29" s="20">
        <f>'Historical Actuals'!J149</f>
        <v>83.1</v>
      </c>
      <c r="L29" s="20">
        <f>'Historical Actuals'!K149</f>
        <v>129.80000000000001</v>
      </c>
      <c r="M29" s="20">
        <f>'Historical Actuals'!L149</f>
        <v>90.6</v>
      </c>
      <c r="N29" s="15">
        <f>'Historical Actuals'!M149</f>
        <v>285.3251600000001</v>
      </c>
      <c r="O29" s="16">
        <f>'Historical Actuals'!N149</f>
        <v>0.23682659692875366</v>
      </c>
      <c r="P29" s="8" t="s">
        <v>98</v>
      </c>
      <c r="Q29" s="1"/>
      <c r="R29" s="1"/>
      <c r="S29" s="1"/>
      <c r="T29" s="1"/>
      <c r="U29" s="1"/>
      <c r="V29" s="1"/>
      <c r="W29" s="1"/>
      <c r="X29" s="1"/>
      <c r="Y29" s="1"/>
      <c r="Z29" s="1"/>
    </row>
    <row r="30" spans="1:26">
      <c r="A30" s="12">
        <v>46174</v>
      </c>
      <c r="B30" s="8" t="s">
        <v>68</v>
      </c>
      <c r="C30" s="8" t="s">
        <v>98</v>
      </c>
      <c r="D30" s="18">
        <f>'Historical Actuals'!C150</f>
        <v>105658</v>
      </c>
      <c r="E30" s="19">
        <f>'Historical Actuals'!D150</f>
        <v>10.8</v>
      </c>
      <c r="F30" s="15">
        <f>'Historical Actuals'!E150</f>
        <v>1141.1064000000001</v>
      </c>
      <c r="G30" s="19">
        <f>'Historical Actuals'!F150</f>
        <v>5.92</v>
      </c>
      <c r="H30" s="15">
        <f>'Historical Actuals'!G150</f>
        <v>625.49536000000001</v>
      </c>
      <c r="I30" s="15">
        <f>'Historical Actuals'!H150</f>
        <v>515.61104000000012</v>
      </c>
      <c r="J30" s="16">
        <f>'Historical Actuals'!I150</f>
        <v>0.45185185185185189</v>
      </c>
      <c r="K30" s="20">
        <f>'Historical Actuals'!J150</f>
        <v>69.2</v>
      </c>
      <c r="L30" s="20">
        <f>'Historical Actuals'!K150</f>
        <v>108.8</v>
      </c>
      <c r="M30" s="20">
        <f>'Historical Actuals'!L150</f>
        <v>75.7</v>
      </c>
      <c r="N30" s="15">
        <f>'Historical Actuals'!M150</f>
        <v>261.91104000000013</v>
      </c>
      <c r="O30" s="16">
        <f>'Historical Actuals'!N150</f>
        <v>0.22952376745937109</v>
      </c>
      <c r="P30" s="8" t="s">
        <v>98</v>
      </c>
      <c r="Q30" s="1"/>
      <c r="R30" s="1"/>
      <c r="S30" s="1"/>
      <c r="T30" s="1"/>
      <c r="U30" s="1"/>
      <c r="V30" s="1"/>
      <c r="W30" s="1"/>
      <c r="X30" s="1"/>
      <c r="Y30" s="1"/>
      <c r="Z30" s="1"/>
    </row>
    <row r="31" spans="1:26">
      <c r="A31" s="12">
        <v>46174</v>
      </c>
      <c r="B31" s="8" t="s">
        <v>69</v>
      </c>
      <c r="C31" s="8" t="s">
        <v>98</v>
      </c>
      <c r="D31" s="18">
        <f>'Historical Actuals'!C151</f>
        <v>81326</v>
      </c>
      <c r="E31" s="19">
        <f>'Historical Actuals'!D151</f>
        <v>15.65</v>
      </c>
      <c r="F31" s="15">
        <f>'Historical Actuals'!E151</f>
        <v>1272.7519000000002</v>
      </c>
      <c r="G31" s="19">
        <f>'Historical Actuals'!F151</f>
        <v>8.26</v>
      </c>
      <c r="H31" s="15">
        <f>'Historical Actuals'!G151</f>
        <v>671.75275999999997</v>
      </c>
      <c r="I31" s="15">
        <f>'Historical Actuals'!H151</f>
        <v>600.99914000000024</v>
      </c>
      <c r="J31" s="16">
        <f>'Historical Actuals'!I151</f>
        <v>0.47220447284345057</v>
      </c>
      <c r="K31" s="20">
        <f>'Historical Actuals'!J151</f>
        <v>108.6</v>
      </c>
      <c r="L31" s="20">
        <f>'Historical Actuals'!K151</f>
        <v>97.7</v>
      </c>
      <c r="M31" s="20">
        <f>'Historical Actuals'!L151</f>
        <v>70.3</v>
      </c>
      <c r="N31" s="15">
        <f>'Historical Actuals'!M151</f>
        <v>324.39914000000022</v>
      </c>
      <c r="O31" s="16">
        <f>'Historical Actuals'!N151</f>
        <v>0.25488010664136518</v>
      </c>
      <c r="P31" s="8" t="s">
        <v>98</v>
      </c>
      <c r="Q31" s="1"/>
      <c r="R31" s="1"/>
      <c r="S31" s="1"/>
      <c r="T31" s="1"/>
      <c r="U31" s="1"/>
      <c r="V31" s="1"/>
      <c r="W31" s="1"/>
      <c r="X31" s="1"/>
      <c r="Y31" s="1"/>
      <c r="Z31" s="1"/>
    </row>
    <row r="32" spans="1:26">
      <c r="A32" s="12">
        <v>46174</v>
      </c>
      <c r="B32" s="8" t="s">
        <v>70</v>
      </c>
      <c r="C32" s="8" t="s">
        <v>98</v>
      </c>
      <c r="D32" s="18">
        <f>'Historical Actuals'!C152</f>
        <v>71341</v>
      </c>
      <c r="E32" s="19">
        <f>'Historical Actuals'!D152</f>
        <v>13.06</v>
      </c>
      <c r="F32" s="15">
        <f>'Historical Actuals'!E152</f>
        <v>931.71346000000005</v>
      </c>
      <c r="G32" s="19">
        <f>'Historical Actuals'!F152</f>
        <v>6.86</v>
      </c>
      <c r="H32" s="15">
        <f>'Historical Actuals'!G152</f>
        <v>489.39926000000003</v>
      </c>
      <c r="I32" s="15">
        <f>'Historical Actuals'!H152</f>
        <v>442.31420000000003</v>
      </c>
      <c r="J32" s="16">
        <f>'Historical Actuals'!I152</f>
        <v>0.47473200612557426</v>
      </c>
      <c r="K32" s="20">
        <f>'Historical Actuals'!J152</f>
        <v>83.8</v>
      </c>
      <c r="L32" s="20">
        <f>'Historical Actuals'!K152</f>
        <v>89.6</v>
      </c>
      <c r="M32" s="20">
        <f>'Historical Actuals'!L152</f>
        <v>66.8</v>
      </c>
      <c r="N32" s="15">
        <f>'Historical Actuals'!M152</f>
        <v>202.11420000000004</v>
      </c>
      <c r="O32" s="16">
        <f>'Historical Actuals'!N152</f>
        <v>0.2169274231586179</v>
      </c>
      <c r="P32" s="8" t="s">
        <v>98</v>
      </c>
      <c r="Q32" s="1"/>
      <c r="R32" s="1"/>
      <c r="S32" s="1"/>
      <c r="T32" s="1"/>
      <c r="U32" s="1"/>
      <c r="V32" s="1"/>
      <c r="W32" s="1"/>
      <c r="X32" s="1"/>
      <c r="Y32" s="1"/>
      <c r="Z32" s="1"/>
    </row>
    <row r="33" spans="1:26">
      <c r="A33" s="12">
        <v>46174</v>
      </c>
      <c r="B33" s="8" t="s">
        <v>71</v>
      </c>
      <c r="C33" s="8" t="s">
        <v>98</v>
      </c>
      <c r="D33" s="18">
        <f>'Historical Actuals'!C153</f>
        <v>56148</v>
      </c>
      <c r="E33" s="19">
        <f>'Historical Actuals'!D153</f>
        <v>20.48</v>
      </c>
      <c r="F33" s="15">
        <f>'Historical Actuals'!E153</f>
        <v>1149.91104</v>
      </c>
      <c r="G33" s="19">
        <f>'Historical Actuals'!F153</f>
        <v>11.72</v>
      </c>
      <c r="H33" s="15">
        <f>'Historical Actuals'!G153</f>
        <v>658.05456000000004</v>
      </c>
      <c r="I33" s="15">
        <f>'Historical Actuals'!H153</f>
        <v>491.85647999999992</v>
      </c>
      <c r="J33" s="16">
        <f>'Historical Actuals'!I153</f>
        <v>0.42773437499999994</v>
      </c>
      <c r="K33" s="20">
        <f>'Historical Actuals'!J153</f>
        <v>74.900000000000006</v>
      </c>
      <c r="L33" s="20">
        <f>'Historical Actuals'!K153</f>
        <v>82.4</v>
      </c>
      <c r="M33" s="20">
        <f>'Historical Actuals'!L153</f>
        <v>62.4</v>
      </c>
      <c r="N33" s="15">
        <f>'Historical Actuals'!M153</f>
        <v>272.15647999999999</v>
      </c>
      <c r="O33" s="16">
        <f>'Historical Actuals'!N153</f>
        <v>0.2366761171368526</v>
      </c>
      <c r="P33" s="8" t="s">
        <v>98</v>
      </c>
      <c r="Q33" s="1"/>
      <c r="R33" s="1"/>
      <c r="S33" s="1"/>
      <c r="T33" s="1"/>
      <c r="U33" s="1"/>
      <c r="V33" s="1"/>
      <c r="W33" s="1"/>
      <c r="X33" s="1"/>
      <c r="Y33" s="1"/>
      <c r="Z33" s="1"/>
    </row>
    <row r="34" spans="1:26">
      <c r="A34" s="12">
        <v>46204</v>
      </c>
      <c r="B34" s="8" t="s">
        <v>67</v>
      </c>
      <c r="C34" s="8" t="s">
        <v>98</v>
      </c>
      <c r="D34" s="18">
        <f>'Historical Actuals'!C154</f>
        <v>141039</v>
      </c>
      <c r="E34" s="19">
        <f>'Historical Actuals'!D154</f>
        <v>8.81</v>
      </c>
      <c r="F34" s="15">
        <f>'Historical Actuals'!E154</f>
        <v>1242.55359</v>
      </c>
      <c r="G34" s="19">
        <f>'Historical Actuals'!F154</f>
        <v>4.63</v>
      </c>
      <c r="H34" s="15">
        <f>'Historical Actuals'!G154</f>
        <v>653.01056999999992</v>
      </c>
      <c r="I34" s="15">
        <f>'Historical Actuals'!H154</f>
        <v>589.54302000000007</v>
      </c>
      <c r="J34" s="16">
        <f>'Historical Actuals'!I154</f>
        <v>0.47446083995459709</v>
      </c>
      <c r="K34" s="20">
        <f>'Historical Actuals'!J154</f>
        <v>94.3</v>
      </c>
      <c r="L34" s="20">
        <f>'Historical Actuals'!K154</f>
        <v>126</v>
      </c>
      <c r="M34" s="20">
        <f>'Historical Actuals'!L154</f>
        <v>90.3</v>
      </c>
      <c r="N34" s="15">
        <f>'Historical Actuals'!M154</f>
        <v>278.94302000000005</v>
      </c>
      <c r="O34" s="16">
        <f>'Historical Actuals'!N154</f>
        <v>0.22449174204228894</v>
      </c>
      <c r="P34" s="8" t="s">
        <v>98</v>
      </c>
      <c r="Q34" s="1"/>
      <c r="R34" s="1"/>
      <c r="S34" s="1"/>
      <c r="T34" s="1"/>
      <c r="U34" s="1"/>
      <c r="V34" s="1"/>
      <c r="W34" s="1"/>
      <c r="X34" s="1"/>
      <c r="Y34" s="1"/>
      <c r="Z34" s="1"/>
    </row>
    <row r="35" spans="1:26">
      <c r="A35" s="12">
        <v>46204</v>
      </c>
      <c r="B35" s="8" t="s">
        <v>68</v>
      </c>
      <c r="C35" s="8" t="s">
        <v>98</v>
      </c>
      <c r="D35" s="18">
        <f>'Historical Actuals'!C155</f>
        <v>110048</v>
      </c>
      <c r="E35" s="19">
        <f>'Historical Actuals'!D155</f>
        <v>10.77</v>
      </c>
      <c r="F35" s="15">
        <f>'Historical Actuals'!E155</f>
        <v>1185.21696</v>
      </c>
      <c r="G35" s="19">
        <f>'Historical Actuals'!F155</f>
        <v>5.91</v>
      </c>
      <c r="H35" s="15">
        <f>'Historical Actuals'!G155</f>
        <v>650.38368000000003</v>
      </c>
      <c r="I35" s="15">
        <f>'Historical Actuals'!H155</f>
        <v>534.83327999999995</v>
      </c>
      <c r="J35" s="16">
        <f>'Historical Actuals'!I155</f>
        <v>0.45125348189415038</v>
      </c>
      <c r="K35" s="20">
        <f>'Historical Actuals'!J155</f>
        <v>73.5</v>
      </c>
      <c r="L35" s="20">
        <f>'Historical Actuals'!K155</f>
        <v>110.1</v>
      </c>
      <c r="M35" s="20">
        <f>'Historical Actuals'!L155</f>
        <v>79.2</v>
      </c>
      <c r="N35" s="15">
        <f>'Historical Actuals'!M155</f>
        <v>272.03327999999993</v>
      </c>
      <c r="O35" s="16">
        <f>'Historical Actuals'!N155</f>
        <v>0.22952192651715003</v>
      </c>
      <c r="P35" s="8" t="s">
        <v>98</v>
      </c>
      <c r="Q35" s="1"/>
      <c r="R35" s="1"/>
      <c r="S35" s="1"/>
      <c r="T35" s="1"/>
      <c r="U35" s="1"/>
      <c r="V35" s="1"/>
      <c r="W35" s="1"/>
      <c r="X35" s="1"/>
      <c r="Y35" s="1"/>
      <c r="Z35" s="1"/>
    </row>
    <row r="36" spans="1:26">
      <c r="A36" s="12">
        <v>46204</v>
      </c>
      <c r="B36" s="8" t="s">
        <v>69</v>
      </c>
      <c r="C36" s="8" t="s">
        <v>98</v>
      </c>
      <c r="D36" s="18">
        <f>'Historical Actuals'!C156</f>
        <v>83748</v>
      </c>
      <c r="E36" s="19">
        <f>'Historical Actuals'!D156</f>
        <v>15.64</v>
      </c>
      <c r="F36" s="15">
        <f>'Historical Actuals'!E156</f>
        <v>1309.81872</v>
      </c>
      <c r="G36" s="19">
        <f>'Historical Actuals'!F156</f>
        <v>8.1999999999999993</v>
      </c>
      <c r="H36" s="15">
        <f>'Historical Actuals'!G156</f>
        <v>686.73360000000002</v>
      </c>
      <c r="I36" s="15">
        <f>'Historical Actuals'!H156</f>
        <v>623.08511999999996</v>
      </c>
      <c r="J36" s="16">
        <f>'Historical Actuals'!I156</f>
        <v>0.47570332480818411</v>
      </c>
      <c r="K36" s="20">
        <f>'Historical Actuals'!J156</f>
        <v>106.2</v>
      </c>
      <c r="L36" s="20">
        <f>'Historical Actuals'!K156</f>
        <v>100</v>
      </c>
      <c r="M36" s="20">
        <f>'Historical Actuals'!L156</f>
        <v>71.2</v>
      </c>
      <c r="N36" s="15">
        <f>'Historical Actuals'!M156</f>
        <v>345.68511999999993</v>
      </c>
      <c r="O36" s="16">
        <f>'Historical Actuals'!N156</f>
        <v>0.26391829244889697</v>
      </c>
      <c r="P36" s="8" t="s">
        <v>98</v>
      </c>
      <c r="Q36" s="1"/>
      <c r="R36" s="1"/>
      <c r="S36" s="1"/>
      <c r="T36" s="1"/>
      <c r="U36" s="1"/>
      <c r="V36" s="1"/>
      <c r="W36" s="1"/>
      <c r="X36" s="1"/>
      <c r="Y36" s="1"/>
      <c r="Z36" s="1"/>
    </row>
    <row r="37" spans="1:26">
      <c r="A37" s="12">
        <v>46204</v>
      </c>
      <c r="B37" s="8" t="s">
        <v>70</v>
      </c>
      <c r="C37" s="8" t="s">
        <v>98</v>
      </c>
      <c r="D37" s="18">
        <f>'Historical Actuals'!C157</f>
        <v>73713</v>
      </c>
      <c r="E37" s="19">
        <f>'Historical Actuals'!D157</f>
        <v>13.09</v>
      </c>
      <c r="F37" s="15">
        <f>'Historical Actuals'!E157</f>
        <v>964.90317000000005</v>
      </c>
      <c r="G37" s="19">
        <f>'Historical Actuals'!F157</f>
        <v>6.86</v>
      </c>
      <c r="H37" s="15">
        <f>'Historical Actuals'!G157</f>
        <v>505.67118000000005</v>
      </c>
      <c r="I37" s="15">
        <f>'Historical Actuals'!H157</f>
        <v>459.23199</v>
      </c>
      <c r="J37" s="16">
        <f>'Historical Actuals'!I157</f>
        <v>0.47593582887700531</v>
      </c>
      <c r="K37" s="20">
        <f>'Historical Actuals'!J157</f>
        <v>92.6</v>
      </c>
      <c r="L37" s="20">
        <f>'Historical Actuals'!K157</f>
        <v>91.3</v>
      </c>
      <c r="M37" s="20">
        <f>'Historical Actuals'!L157</f>
        <v>67.099999999999994</v>
      </c>
      <c r="N37" s="15">
        <f>'Historical Actuals'!M157</f>
        <v>208.23198999999997</v>
      </c>
      <c r="O37" s="16">
        <f>'Historical Actuals'!N157</f>
        <v>0.21580610000483258</v>
      </c>
      <c r="P37" s="8" t="s">
        <v>98</v>
      </c>
      <c r="Q37" s="1"/>
      <c r="R37" s="1"/>
      <c r="S37" s="1"/>
      <c r="T37" s="1"/>
      <c r="U37" s="1"/>
      <c r="V37" s="1"/>
      <c r="W37" s="1"/>
      <c r="X37" s="1"/>
      <c r="Y37" s="1"/>
      <c r="Z37" s="1"/>
    </row>
    <row r="38" spans="1:26">
      <c r="A38" s="12">
        <v>46204</v>
      </c>
      <c r="B38" s="8" t="s">
        <v>71</v>
      </c>
      <c r="C38" s="8" t="s">
        <v>98</v>
      </c>
      <c r="D38" s="18">
        <f>'Historical Actuals'!C158</f>
        <v>58495</v>
      </c>
      <c r="E38" s="19">
        <f>'Historical Actuals'!D158</f>
        <v>20.45</v>
      </c>
      <c r="F38" s="15">
        <f>'Historical Actuals'!E158</f>
        <v>1196.2227499999999</v>
      </c>
      <c r="G38" s="19">
        <f>'Historical Actuals'!F158</f>
        <v>11.71</v>
      </c>
      <c r="H38" s="15">
        <f>'Historical Actuals'!G158</f>
        <v>684.97645000000011</v>
      </c>
      <c r="I38" s="15">
        <f>'Historical Actuals'!H158</f>
        <v>511.24629999999979</v>
      </c>
      <c r="J38" s="16">
        <f>'Historical Actuals'!I158</f>
        <v>0.42738386308068443</v>
      </c>
      <c r="K38" s="20">
        <f>'Historical Actuals'!J158</f>
        <v>82.4</v>
      </c>
      <c r="L38" s="20">
        <f>'Historical Actuals'!K158</f>
        <v>83</v>
      </c>
      <c r="M38" s="20">
        <f>'Historical Actuals'!L158</f>
        <v>60.3</v>
      </c>
      <c r="N38" s="15">
        <f>'Historical Actuals'!M158</f>
        <v>285.5462999999998</v>
      </c>
      <c r="O38" s="16">
        <f>'Historical Actuals'!N158</f>
        <v>0.23870662884483665</v>
      </c>
      <c r="P38" s="8" t="s">
        <v>98</v>
      </c>
      <c r="Q38" s="1"/>
      <c r="R38" s="1"/>
      <c r="S38" s="1"/>
      <c r="T38" s="1"/>
      <c r="U38" s="1"/>
      <c r="V38" s="1"/>
      <c r="W38" s="1"/>
      <c r="X38" s="1"/>
      <c r="Y38" s="1"/>
      <c r="Z38" s="1"/>
    </row>
    <row r="39" spans="1:26">
      <c r="A39" s="12">
        <v>46235</v>
      </c>
      <c r="B39" s="8" t="s">
        <v>67</v>
      </c>
      <c r="C39" s="8" t="s">
        <v>98</v>
      </c>
      <c r="D39" s="18">
        <f>'Historical Actuals'!C159</f>
        <v>129311</v>
      </c>
      <c r="E39" s="19">
        <f>'Historical Actuals'!D159</f>
        <v>8.8699999999999992</v>
      </c>
      <c r="F39" s="15">
        <f>'Historical Actuals'!E159</f>
        <v>1146.9885699999998</v>
      </c>
      <c r="G39" s="19">
        <f>'Historical Actuals'!F159</f>
        <v>4.54</v>
      </c>
      <c r="H39" s="15">
        <f>'Historical Actuals'!G159</f>
        <v>587.07194000000004</v>
      </c>
      <c r="I39" s="15">
        <f>'Historical Actuals'!H159</f>
        <v>559.91662999999971</v>
      </c>
      <c r="J39" s="16">
        <f>'Historical Actuals'!I159</f>
        <v>0.48816234498308891</v>
      </c>
      <c r="K39" s="20">
        <f>'Historical Actuals'!J159</f>
        <v>79.900000000000006</v>
      </c>
      <c r="L39" s="20">
        <f>'Historical Actuals'!K159</f>
        <v>127.7</v>
      </c>
      <c r="M39" s="20">
        <f>'Historical Actuals'!L159</f>
        <v>92.8</v>
      </c>
      <c r="N39" s="15">
        <f>'Historical Actuals'!M159</f>
        <v>259.51662999999974</v>
      </c>
      <c r="O39" s="16">
        <f>'Historical Actuals'!N159</f>
        <v>0.22625912479668372</v>
      </c>
      <c r="P39" s="8" t="s">
        <v>98</v>
      </c>
      <c r="Q39" s="1"/>
      <c r="R39" s="1"/>
      <c r="S39" s="1"/>
      <c r="T39" s="1"/>
      <c r="U39" s="1"/>
      <c r="V39" s="1"/>
      <c r="W39" s="1"/>
      <c r="X39" s="1"/>
      <c r="Y39" s="1"/>
      <c r="Z39" s="1"/>
    </row>
    <row r="40" spans="1:26">
      <c r="A40" s="12">
        <v>46235</v>
      </c>
      <c r="B40" s="8" t="s">
        <v>68</v>
      </c>
      <c r="C40" s="8" t="s">
        <v>98</v>
      </c>
      <c r="D40" s="18">
        <f>'Historical Actuals'!C160</f>
        <v>104761</v>
      </c>
      <c r="E40" s="19">
        <f>'Historical Actuals'!D160</f>
        <v>10.8</v>
      </c>
      <c r="F40" s="15">
        <f>'Historical Actuals'!E160</f>
        <v>1131.4188000000001</v>
      </c>
      <c r="G40" s="19">
        <f>'Historical Actuals'!F160</f>
        <v>6.02</v>
      </c>
      <c r="H40" s="15">
        <f>'Historical Actuals'!G160</f>
        <v>630.66121999999996</v>
      </c>
      <c r="I40" s="15">
        <f>'Historical Actuals'!H160</f>
        <v>500.75758000000019</v>
      </c>
      <c r="J40" s="16">
        <f>'Historical Actuals'!I160</f>
        <v>0.4425925925925927</v>
      </c>
      <c r="K40" s="20">
        <f>'Historical Actuals'!J160</f>
        <v>66.3</v>
      </c>
      <c r="L40" s="20">
        <f>'Historical Actuals'!K160</f>
        <v>111.9</v>
      </c>
      <c r="M40" s="20">
        <f>'Historical Actuals'!L160</f>
        <v>76.900000000000006</v>
      </c>
      <c r="N40" s="15">
        <f>'Historical Actuals'!M160</f>
        <v>245.65758000000014</v>
      </c>
      <c r="O40" s="16">
        <f>'Historical Actuals'!N160</f>
        <v>0.21712347364212095</v>
      </c>
      <c r="P40" s="8" t="s">
        <v>98</v>
      </c>
      <c r="Q40" s="1"/>
      <c r="R40" s="1"/>
      <c r="S40" s="1"/>
      <c r="T40" s="1"/>
      <c r="U40" s="1"/>
      <c r="V40" s="1"/>
      <c r="W40" s="1"/>
      <c r="X40" s="1"/>
      <c r="Y40" s="1"/>
      <c r="Z40" s="1"/>
    </row>
    <row r="41" spans="1:26">
      <c r="A41" s="12">
        <v>46235</v>
      </c>
      <c r="B41" s="8" t="s">
        <v>69</v>
      </c>
      <c r="C41" s="8" t="s">
        <v>98</v>
      </c>
      <c r="D41" s="18">
        <f>'Historical Actuals'!C161</f>
        <v>83567</v>
      </c>
      <c r="E41" s="19">
        <f>'Historical Actuals'!D161</f>
        <v>15.63</v>
      </c>
      <c r="F41" s="15">
        <f>'Historical Actuals'!E161</f>
        <v>1306.15221</v>
      </c>
      <c r="G41" s="19">
        <f>'Historical Actuals'!F161</f>
        <v>8.15</v>
      </c>
      <c r="H41" s="15">
        <f>'Historical Actuals'!G161</f>
        <v>681.07105000000001</v>
      </c>
      <c r="I41" s="15">
        <f>'Historical Actuals'!H161</f>
        <v>625.08115999999995</v>
      </c>
      <c r="J41" s="16">
        <f>'Historical Actuals'!I161</f>
        <v>0.47856685860524628</v>
      </c>
      <c r="K41" s="20">
        <f>'Historical Actuals'!J161</f>
        <v>101.7</v>
      </c>
      <c r="L41" s="20">
        <f>'Historical Actuals'!K161</f>
        <v>101.7</v>
      </c>
      <c r="M41" s="20">
        <f>'Historical Actuals'!L161</f>
        <v>68.8</v>
      </c>
      <c r="N41" s="15">
        <f>'Historical Actuals'!M161</f>
        <v>352.88115999999991</v>
      </c>
      <c r="O41" s="16">
        <f>'Historical Actuals'!N161</f>
        <v>0.27016848212506561</v>
      </c>
      <c r="P41" s="8" t="s">
        <v>98</v>
      </c>
      <c r="Q41" s="1"/>
      <c r="R41" s="1"/>
      <c r="S41" s="1"/>
      <c r="T41" s="1"/>
      <c r="U41" s="1"/>
      <c r="V41" s="1"/>
      <c r="W41" s="1"/>
      <c r="X41" s="1"/>
      <c r="Y41" s="1"/>
      <c r="Z41" s="1"/>
    </row>
    <row r="42" spans="1:26">
      <c r="A42" s="12">
        <v>46235</v>
      </c>
      <c r="B42" s="8" t="s">
        <v>70</v>
      </c>
      <c r="C42" s="8" t="s">
        <v>98</v>
      </c>
      <c r="D42" s="18">
        <f>'Historical Actuals'!C162</f>
        <v>72348</v>
      </c>
      <c r="E42" s="19">
        <f>'Historical Actuals'!D162</f>
        <v>13.12</v>
      </c>
      <c r="F42" s="15">
        <f>'Historical Actuals'!E162</f>
        <v>949.20575999999994</v>
      </c>
      <c r="G42" s="19">
        <f>'Historical Actuals'!F162</f>
        <v>6.87</v>
      </c>
      <c r="H42" s="15">
        <f>'Historical Actuals'!G162</f>
        <v>497.03075999999999</v>
      </c>
      <c r="I42" s="15">
        <f>'Historical Actuals'!H162</f>
        <v>452.17499999999995</v>
      </c>
      <c r="J42" s="16">
        <f>'Historical Actuals'!I162</f>
        <v>0.4763719512195122</v>
      </c>
      <c r="K42" s="20">
        <f>'Historical Actuals'!J162</f>
        <v>93</v>
      </c>
      <c r="L42" s="20">
        <f>'Historical Actuals'!K162</f>
        <v>92.8</v>
      </c>
      <c r="M42" s="20">
        <f>'Historical Actuals'!L162</f>
        <v>66.7</v>
      </c>
      <c r="N42" s="15">
        <f>'Historical Actuals'!M162</f>
        <v>199.67499999999995</v>
      </c>
      <c r="O42" s="16">
        <f>'Historical Actuals'!N162</f>
        <v>0.21036008041080573</v>
      </c>
      <c r="P42" s="8" t="s">
        <v>98</v>
      </c>
      <c r="Q42" s="1"/>
      <c r="R42" s="1"/>
      <c r="S42" s="1"/>
      <c r="T42" s="1"/>
      <c r="U42" s="1"/>
      <c r="V42" s="1"/>
      <c r="W42" s="1"/>
      <c r="X42" s="1"/>
      <c r="Y42" s="1"/>
      <c r="Z42" s="1"/>
    </row>
    <row r="43" spans="1:26">
      <c r="A43" s="12">
        <v>46235</v>
      </c>
      <c r="B43" s="8" t="s">
        <v>71</v>
      </c>
      <c r="C43" s="8" t="s">
        <v>98</v>
      </c>
      <c r="D43" s="18">
        <f>'Historical Actuals'!C163</f>
        <v>55193</v>
      </c>
      <c r="E43" s="19">
        <f>'Historical Actuals'!D163</f>
        <v>20.61</v>
      </c>
      <c r="F43" s="15">
        <f>'Historical Actuals'!E163</f>
        <v>1137.52773</v>
      </c>
      <c r="G43" s="19">
        <f>'Historical Actuals'!F163</f>
        <v>11.59</v>
      </c>
      <c r="H43" s="15">
        <f>'Historical Actuals'!G163</f>
        <v>639.68687</v>
      </c>
      <c r="I43" s="15">
        <f>'Historical Actuals'!H163</f>
        <v>497.84086000000002</v>
      </c>
      <c r="J43" s="16">
        <f>'Historical Actuals'!I163</f>
        <v>0.43765162542455122</v>
      </c>
      <c r="K43" s="20">
        <f>'Historical Actuals'!J163</f>
        <v>77.8</v>
      </c>
      <c r="L43" s="20">
        <f>'Historical Actuals'!K163</f>
        <v>81.900000000000006</v>
      </c>
      <c r="M43" s="20">
        <f>'Historical Actuals'!L163</f>
        <v>62.8</v>
      </c>
      <c r="N43" s="15">
        <f>'Historical Actuals'!M163</f>
        <v>275.34085999999996</v>
      </c>
      <c r="O43" s="16">
        <f>'Historical Actuals'!N163</f>
        <v>0.24205199815216807</v>
      </c>
      <c r="P43" s="8" t="s">
        <v>98</v>
      </c>
      <c r="Q43" s="1"/>
      <c r="R43" s="1"/>
      <c r="S43" s="1"/>
      <c r="T43" s="1"/>
      <c r="U43" s="1"/>
      <c r="V43" s="1"/>
      <c r="W43" s="1"/>
      <c r="X43" s="1"/>
      <c r="Y43" s="1"/>
      <c r="Z43" s="1"/>
    </row>
    <row r="44" spans="1:26">
      <c r="A44" s="12">
        <v>46266</v>
      </c>
      <c r="B44" s="8" t="s">
        <v>67</v>
      </c>
      <c r="C44" s="8" t="s">
        <v>98</v>
      </c>
      <c r="D44" s="18">
        <f>'Historical Actuals'!C164</f>
        <v>130172</v>
      </c>
      <c r="E44" s="19">
        <f>'Historical Actuals'!D164</f>
        <v>8.85</v>
      </c>
      <c r="F44" s="15">
        <f>'Historical Actuals'!E164</f>
        <v>1152.0221999999999</v>
      </c>
      <c r="G44" s="19">
        <f>'Historical Actuals'!F164</f>
        <v>4.6100000000000003</v>
      </c>
      <c r="H44" s="15">
        <f>'Historical Actuals'!G164</f>
        <v>600.09292000000005</v>
      </c>
      <c r="I44" s="15">
        <f>'Historical Actuals'!H164</f>
        <v>551.92927999999984</v>
      </c>
      <c r="J44" s="16">
        <f>'Historical Actuals'!I164</f>
        <v>0.47909604519774002</v>
      </c>
      <c r="K44" s="20">
        <f>'Historical Actuals'!J164</f>
        <v>91.2</v>
      </c>
      <c r="L44" s="20">
        <f>'Historical Actuals'!K164</f>
        <v>124.9</v>
      </c>
      <c r="M44" s="20">
        <f>'Historical Actuals'!L164</f>
        <v>88.2</v>
      </c>
      <c r="N44" s="15">
        <f>'Historical Actuals'!M164</f>
        <v>247.62927999999982</v>
      </c>
      <c r="O44" s="16">
        <f>'Historical Actuals'!N164</f>
        <v>0.21495182992133299</v>
      </c>
      <c r="P44" s="8" t="s">
        <v>98</v>
      </c>
      <c r="Q44" s="1"/>
      <c r="R44" s="1"/>
      <c r="S44" s="1"/>
      <c r="T44" s="1"/>
      <c r="U44" s="1"/>
      <c r="V44" s="1"/>
      <c r="W44" s="1"/>
      <c r="X44" s="1"/>
      <c r="Y44" s="1"/>
      <c r="Z44" s="1"/>
    </row>
    <row r="45" spans="1:26">
      <c r="A45" s="12">
        <v>46266</v>
      </c>
      <c r="B45" s="8" t="s">
        <v>68</v>
      </c>
      <c r="C45" s="8" t="s">
        <v>98</v>
      </c>
      <c r="D45" s="18">
        <f>'Historical Actuals'!C165</f>
        <v>99079</v>
      </c>
      <c r="E45" s="19">
        <f>'Historical Actuals'!D165</f>
        <v>10.8</v>
      </c>
      <c r="F45" s="15">
        <f>'Historical Actuals'!E165</f>
        <v>1070.0532000000003</v>
      </c>
      <c r="G45" s="19">
        <f>'Historical Actuals'!F165</f>
        <v>5.98</v>
      </c>
      <c r="H45" s="15">
        <f>'Historical Actuals'!G165</f>
        <v>592.49242000000004</v>
      </c>
      <c r="I45" s="15">
        <f>'Historical Actuals'!H165</f>
        <v>477.56078000000025</v>
      </c>
      <c r="J45" s="16">
        <f>'Historical Actuals'!I165</f>
        <v>0.44629629629629641</v>
      </c>
      <c r="K45" s="20">
        <f>'Historical Actuals'!J165</f>
        <v>69.599999999999994</v>
      </c>
      <c r="L45" s="20">
        <f>'Historical Actuals'!K165</f>
        <v>108.6</v>
      </c>
      <c r="M45" s="20">
        <f>'Historical Actuals'!L165</f>
        <v>74.7</v>
      </c>
      <c r="N45" s="15">
        <f>'Historical Actuals'!M165</f>
        <v>224.66078000000022</v>
      </c>
      <c r="O45" s="16">
        <f>'Historical Actuals'!N165</f>
        <v>0.20995290701434299</v>
      </c>
      <c r="P45" s="8" t="s">
        <v>98</v>
      </c>
      <c r="Q45" s="1"/>
      <c r="R45" s="1"/>
      <c r="S45" s="1"/>
      <c r="T45" s="1"/>
      <c r="U45" s="1"/>
      <c r="V45" s="1"/>
      <c r="W45" s="1"/>
      <c r="X45" s="1"/>
      <c r="Y45" s="1"/>
      <c r="Z45" s="1"/>
    </row>
    <row r="46" spans="1:26">
      <c r="A46" s="12">
        <v>46266</v>
      </c>
      <c r="B46" s="8" t="s">
        <v>69</v>
      </c>
      <c r="C46" s="8" t="s">
        <v>98</v>
      </c>
      <c r="D46" s="18">
        <f>'Historical Actuals'!C166</f>
        <v>82026</v>
      </c>
      <c r="E46" s="19">
        <f>'Historical Actuals'!D166</f>
        <v>15.67</v>
      </c>
      <c r="F46" s="15">
        <f>'Historical Actuals'!E166</f>
        <v>1285.3474199999998</v>
      </c>
      <c r="G46" s="19">
        <f>'Historical Actuals'!F166</f>
        <v>8.14</v>
      </c>
      <c r="H46" s="15">
        <f>'Historical Actuals'!G166</f>
        <v>667.69164000000001</v>
      </c>
      <c r="I46" s="15">
        <f>'Historical Actuals'!H166</f>
        <v>617.65577999999982</v>
      </c>
      <c r="J46" s="16">
        <f>'Historical Actuals'!I166</f>
        <v>0.48053605615826411</v>
      </c>
      <c r="K46" s="20">
        <f>'Historical Actuals'!J166</f>
        <v>105.1</v>
      </c>
      <c r="L46" s="20">
        <f>'Historical Actuals'!K166</f>
        <v>97.6</v>
      </c>
      <c r="M46" s="20">
        <f>'Historical Actuals'!L166</f>
        <v>72.8</v>
      </c>
      <c r="N46" s="15">
        <f>'Historical Actuals'!M166</f>
        <v>342.15577999999977</v>
      </c>
      <c r="O46" s="16">
        <f>'Historical Actuals'!N166</f>
        <v>0.2661971189081313</v>
      </c>
      <c r="P46" s="8" t="s">
        <v>98</v>
      </c>
      <c r="Q46" s="1"/>
      <c r="R46" s="1"/>
      <c r="S46" s="1"/>
      <c r="T46" s="1"/>
      <c r="U46" s="1"/>
      <c r="V46" s="1"/>
      <c r="W46" s="1"/>
      <c r="X46" s="1"/>
      <c r="Y46" s="1"/>
      <c r="Z46" s="1"/>
    </row>
    <row r="47" spans="1:26">
      <c r="A47" s="12">
        <v>46266</v>
      </c>
      <c r="B47" s="8" t="s">
        <v>70</v>
      </c>
      <c r="C47" s="8" t="s">
        <v>98</v>
      </c>
      <c r="D47" s="18">
        <f>'Historical Actuals'!C167</f>
        <v>67745</v>
      </c>
      <c r="E47" s="19">
        <f>'Historical Actuals'!D167</f>
        <v>13.04</v>
      </c>
      <c r="F47" s="15">
        <f>'Historical Actuals'!E167</f>
        <v>883.39479999999992</v>
      </c>
      <c r="G47" s="19">
        <f>'Historical Actuals'!F167</f>
        <v>6.77</v>
      </c>
      <c r="H47" s="15">
        <f>'Historical Actuals'!G167</f>
        <v>458.63364999999999</v>
      </c>
      <c r="I47" s="15">
        <f>'Historical Actuals'!H167</f>
        <v>424.76114999999993</v>
      </c>
      <c r="J47" s="16">
        <f>'Historical Actuals'!I167</f>
        <v>0.48082822085889565</v>
      </c>
      <c r="K47" s="20">
        <f>'Historical Actuals'!J167</f>
        <v>85.4</v>
      </c>
      <c r="L47" s="20">
        <f>'Historical Actuals'!K167</f>
        <v>89.1</v>
      </c>
      <c r="M47" s="20">
        <f>'Historical Actuals'!L167</f>
        <v>65.099999999999994</v>
      </c>
      <c r="N47" s="15">
        <f>'Historical Actuals'!M167</f>
        <v>185.16114999999996</v>
      </c>
      <c r="O47" s="16">
        <f>'Historical Actuals'!N167</f>
        <v>0.20960181110416315</v>
      </c>
      <c r="P47" s="8" t="s">
        <v>98</v>
      </c>
      <c r="Q47" s="1"/>
      <c r="R47" s="1"/>
      <c r="S47" s="1"/>
      <c r="T47" s="1"/>
      <c r="U47" s="1"/>
      <c r="V47" s="1"/>
      <c r="W47" s="1"/>
      <c r="X47" s="1"/>
      <c r="Y47" s="1"/>
      <c r="Z47" s="1"/>
    </row>
    <row r="48" spans="1:26">
      <c r="A48" s="12">
        <v>46266</v>
      </c>
      <c r="B48" s="8" t="s">
        <v>71</v>
      </c>
      <c r="C48" s="8" t="s">
        <v>98</v>
      </c>
      <c r="D48" s="18">
        <f>'Historical Actuals'!C168</f>
        <v>55276</v>
      </c>
      <c r="E48" s="19">
        <f>'Historical Actuals'!D168</f>
        <v>20.59</v>
      </c>
      <c r="F48" s="15">
        <f>'Historical Actuals'!E168</f>
        <v>1138.13284</v>
      </c>
      <c r="G48" s="19">
        <f>'Historical Actuals'!F168</f>
        <v>11.85</v>
      </c>
      <c r="H48" s="15">
        <f>'Historical Actuals'!G168</f>
        <v>655.02059999999994</v>
      </c>
      <c r="I48" s="15">
        <f>'Historical Actuals'!H168</f>
        <v>483.11224000000004</v>
      </c>
      <c r="J48" s="16">
        <f>'Historical Actuals'!I168</f>
        <v>0.42447790189412338</v>
      </c>
      <c r="K48" s="20">
        <f>'Historical Actuals'!J168</f>
        <v>76.400000000000006</v>
      </c>
      <c r="L48" s="20">
        <f>'Historical Actuals'!K168</f>
        <v>83.1</v>
      </c>
      <c r="M48" s="20">
        <f>'Historical Actuals'!L168</f>
        <v>60.6</v>
      </c>
      <c r="N48" s="15">
        <f>'Historical Actuals'!M168</f>
        <v>263.01224000000002</v>
      </c>
      <c r="O48" s="16">
        <f>'Historical Actuals'!N168</f>
        <v>0.23109098582903559</v>
      </c>
      <c r="P48" s="8" t="s">
        <v>98</v>
      </c>
      <c r="Q48" s="1"/>
      <c r="R48" s="1"/>
      <c r="S48" s="1"/>
      <c r="T48" s="1"/>
      <c r="U48" s="1"/>
      <c r="V48" s="1"/>
      <c r="W48" s="1"/>
      <c r="X48" s="1"/>
      <c r="Y48" s="1"/>
      <c r="Z48" s="1"/>
    </row>
    <row r="49" spans="1:26">
      <c r="A49" s="21">
        <v>46296</v>
      </c>
      <c r="B49" s="22" t="s">
        <v>67</v>
      </c>
      <c r="C49" s="22" t="s">
        <v>108</v>
      </c>
      <c r="D49" s="23">
        <f>'Budget 2026'!D49*Assumptions!$B$16</f>
        <v>139809.655</v>
      </c>
      <c r="E49" s="24">
        <f>'Budget 2026'!F49*Assumptions!$C$16</f>
        <v>8.8785999999999987</v>
      </c>
      <c r="F49" s="25">
        <f t="shared" ref="F49:F63" si="0">D49*E49/1000</f>
        <v>1241.3140028829998</v>
      </c>
      <c r="G49" s="24">
        <f>'Budget 2026'!H49*Assumptions!$D$16</f>
        <v>4.5436499999999995</v>
      </c>
      <c r="H49" s="25">
        <f t="shared" ref="H49:H63" si="1">D49*G49/1000</f>
        <v>635.24613894074992</v>
      </c>
      <c r="I49" s="25">
        <f t="shared" ref="I49:I63" si="2">F49-H49</f>
        <v>606.06786394224991</v>
      </c>
      <c r="J49" s="26">
        <f t="shared" ref="J49:J63" si="3">IFERROR(I49/F49,0)</f>
        <v>0.48824702092672267</v>
      </c>
      <c r="K49" s="27">
        <f>'Budget 2026'!M49*Assumptions!$E$16</f>
        <v>90.615922210458976</v>
      </c>
      <c r="L49" s="27">
        <f>'Budget 2026'!N49</f>
        <v>215.50003333333333</v>
      </c>
      <c r="M49" s="27">
        <f>'Budget 2026'!O49*Assumptions!$F$16</f>
        <v>88.285499999999985</v>
      </c>
      <c r="N49" s="25">
        <f t="shared" ref="N49:N63" si="4">I49-K49-L49-M49</f>
        <v>211.66640839845761</v>
      </c>
      <c r="O49" s="26">
        <f t="shared" ref="O49:O63" si="5">IFERROR(N49/F49,0)</f>
        <v>0.17051802195645435</v>
      </c>
      <c r="P49" s="28" t="str">
        <f>Assumptions!$B$6</f>
        <v>Base</v>
      </c>
      <c r="Q49" s="1"/>
      <c r="R49" s="1"/>
      <c r="S49" s="1"/>
      <c r="T49" s="1"/>
      <c r="U49" s="1"/>
      <c r="V49" s="1"/>
      <c r="W49" s="1"/>
      <c r="X49" s="1"/>
      <c r="Y49" s="1"/>
      <c r="Z49" s="1"/>
    </row>
    <row r="50" spans="1:26">
      <c r="A50" s="21">
        <v>46296</v>
      </c>
      <c r="B50" s="22" t="s">
        <v>68</v>
      </c>
      <c r="C50" s="22" t="s">
        <v>108</v>
      </c>
      <c r="D50" s="23">
        <f>'Budget 2026'!D50*Assumptions!$B$16</f>
        <v>103545.62400000001</v>
      </c>
      <c r="E50" s="24">
        <f>'Budget 2026'!F50*Assumptions!$C$16</f>
        <v>10.670640000000001</v>
      </c>
      <c r="F50" s="25">
        <f t="shared" si="0"/>
        <v>1104.8980772793602</v>
      </c>
      <c r="G50" s="24">
        <f>'Budget 2026'!H50*Assumptions!$D$16</f>
        <v>5.9892599999999998</v>
      </c>
      <c r="H50" s="25">
        <f t="shared" si="1"/>
        <v>620.16166399823999</v>
      </c>
      <c r="I50" s="25">
        <f t="shared" si="2"/>
        <v>484.73641328112024</v>
      </c>
      <c r="J50" s="26">
        <f t="shared" si="3"/>
        <v>0.4387159533073931</v>
      </c>
      <c r="K50" s="27">
        <f>'Budget 2026'!M50*Assumptions!$E$16</f>
        <v>67.398782714040976</v>
      </c>
      <c r="L50" s="27">
        <f>'Budget 2026'!N50</f>
        <v>180.19206249999999</v>
      </c>
      <c r="M50" s="27">
        <f>'Budget 2026'!O50*Assumptions!$F$16</f>
        <v>77.417999999999992</v>
      </c>
      <c r="N50" s="25">
        <f t="shared" si="4"/>
        <v>159.72756806707929</v>
      </c>
      <c r="O50" s="26">
        <f t="shared" si="5"/>
        <v>0.14456316953721524</v>
      </c>
      <c r="P50" s="28" t="str">
        <f>Assumptions!$B$6</f>
        <v>Base</v>
      </c>
      <c r="Q50" s="1"/>
      <c r="R50" s="1"/>
      <c r="S50" s="1"/>
      <c r="T50" s="1"/>
      <c r="U50" s="1"/>
      <c r="V50" s="1"/>
      <c r="W50" s="1"/>
      <c r="X50" s="1"/>
      <c r="Y50" s="1"/>
      <c r="Z50" s="1"/>
    </row>
    <row r="51" spans="1:26">
      <c r="A51" s="21">
        <v>46296</v>
      </c>
      <c r="B51" s="22" t="s">
        <v>69</v>
      </c>
      <c r="C51" s="22" t="s">
        <v>108</v>
      </c>
      <c r="D51" s="23">
        <f>'Budget 2026'!D51*Assumptions!$B$16</f>
        <v>86661.36</v>
      </c>
      <c r="E51" s="24">
        <f>'Budget 2026'!F51*Assumptions!$C$16</f>
        <v>15.618149999999998</v>
      </c>
      <c r="F51" s="25">
        <f t="shared" si="0"/>
        <v>1353.4901196839999</v>
      </c>
      <c r="G51" s="24">
        <f>'Budget 2026'!H51*Assumptions!$D$16</f>
        <v>8.2943200000000008</v>
      </c>
      <c r="H51" s="25">
        <f t="shared" si="1"/>
        <v>718.79705147520008</v>
      </c>
      <c r="I51" s="25">
        <f t="shared" si="2"/>
        <v>634.69306820879979</v>
      </c>
      <c r="J51" s="26">
        <f t="shared" si="3"/>
        <v>0.46893069921853731</v>
      </c>
      <c r="K51" s="27">
        <f>'Budget 2026'!M51*Assumptions!$E$16</f>
        <v>115.04666017314</v>
      </c>
      <c r="L51" s="27">
        <f>'Budget 2026'!N51</f>
        <v>169.6500125</v>
      </c>
      <c r="M51" s="27">
        <f>'Budget 2026'!O51*Assumptions!$F$16</f>
        <v>71.448000000000008</v>
      </c>
      <c r="N51" s="25">
        <f t="shared" si="4"/>
        <v>278.54839553565978</v>
      </c>
      <c r="O51" s="26">
        <f t="shared" si="5"/>
        <v>0.20580009523873927</v>
      </c>
      <c r="P51" s="28" t="str">
        <f>Assumptions!$B$6</f>
        <v>Base</v>
      </c>
      <c r="Q51" s="1"/>
      <c r="R51" s="1"/>
      <c r="S51" s="1"/>
      <c r="T51" s="1"/>
      <c r="U51" s="1"/>
      <c r="V51" s="1"/>
      <c r="W51" s="1"/>
      <c r="X51" s="1"/>
      <c r="Y51" s="1"/>
      <c r="Z51" s="1"/>
    </row>
    <row r="52" spans="1:26">
      <c r="A52" s="21">
        <v>46296</v>
      </c>
      <c r="B52" s="22" t="s">
        <v>70</v>
      </c>
      <c r="C52" s="22" t="s">
        <v>108</v>
      </c>
      <c r="D52" s="23">
        <f>'Budget 2026'!D52*Assumptions!$B$16</f>
        <v>71867.856</v>
      </c>
      <c r="E52" s="24">
        <f>'Budget 2026'!F52*Assumptions!$C$16</f>
        <v>13.116720000000001</v>
      </c>
      <c r="F52" s="25">
        <f t="shared" si="0"/>
        <v>942.67054415231996</v>
      </c>
      <c r="G52" s="24">
        <f>'Budget 2026'!H52*Assumptions!$D$16</f>
        <v>6.8016000000000005</v>
      </c>
      <c r="H52" s="25">
        <f t="shared" si="1"/>
        <v>488.81640936960008</v>
      </c>
      <c r="I52" s="25">
        <f t="shared" si="2"/>
        <v>453.85413478271988</v>
      </c>
      <c r="J52" s="26">
        <f t="shared" si="3"/>
        <v>0.48145572978610496</v>
      </c>
      <c r="K52" s="27">
        <f>'Budget 2026'!M52*Assumptions!$E$16</f>
        <v>86.725690062013442</v>
      </c>
      <c r="L52" s="27">
        <f>'Budget 2026'!N52</f>
        <v>149.00022916666666</v>
      </c>
      <c r="M52" s="27">
        <f>'Budget 2026'!O52*Assumptions!$F$16</f>
        <v>65.52</v>
      </c>
      <c r="N52" s="25">
        <f t="shared" si="4"/>
        <v>152.60821555403982</v>
      </c>
      <c r="O52" s="26">
        <f t="shared" si="5"/>
        <v>0.16188923744431846</v>
      </c>
      <c r="P52" s="28" t="str">
        <f>Assumptions!$B$6</f>
        <v>Base</v>
      </c>
      <c r="Q52" s="1"/>
      <c r="R52" s="1"/>
      <c r="S52" s="1"/>
      <c r="T52" s="1"/>
      <c r="U52" s="1"/>
      <c r="V52" s="1"/>
      <c r="W52" s="1"/>
      <c r="X52" s="1"/>
      <c r="Y52" s="1"/>
      <c r="Z52" s="1"/>
    </row>
    <row r="53" spans="1:26">
      <c r="A53" s="21">
        <v>46296</v>
      </c>
      <c r="B53" s="22" t="s">
        <v>71</v>
      </c>
      <c r="C53" s="22" t="s">
        <v>108</v>
      </c>
      <c r="D53" s="23">
        <f>'Budget 2026'!D53*Assumptions!$B$16</f>
        <v>56477.88</v>
      </c>
      <c r="E53" s="24">
        <f>'Budget 2026'!F53*Assumptions!$C$16</f>
        <v>20.479499999999998</v>
      </c>
      <c r="F53" s="25">
        <f t="shared" si="0"/>
        <v>1156.6387434599999</v>
      </c>
      <c r="G53" s="24">
        <f>'Budget 2026'!H53*Assumptions!$D$16</f>
        <v>11.703999999999999</v>
      </c>
      <c r="H53" s="25">
        <f t="shared" si="1"/>
        <v>661.01710751999997</v>
      </c>
      <c r="I53" s="25">
        <f t="shared" si="2"/>
        <v>495.62163593999992</v>
      </c>
      <c r="J53" s="26">
        <f t="shared" si="3"/>
        <v>0.42850167240411141</v>
      </c>
      <c r="K53" s="27">
        <f>'Budget 2026'!M53*Assumptions!$E$16</f>
        <v>77.494795811819998</v>
      </c>
      <c r="L53" s="27">
        <f>'Budget 2026'!N53</f>
        <v>127.77793749999999</v>
      </c>
      <c r="M53" s="27">
        <f>'Budget 2026'!O53*Assumptions!$F$16</f>
        <v>61.236999999999995</v>
      </c>
      <c r="N53" s="25">
        <f t="shared" si="4"/>
        <v>229.11190262817993</v>
      </c>
      <c r="O53" s="26">
        <f t="shared" si="5"/>
        <v>0.1980842366933071</v>
      </c>
      <c r="P53" s="28" t="str">
        <f>Assumptions!$B$6</f>
        <v>Base</v>
      </c>
      <c r="Q53" s="1"/>
      <c r="R53" s="1"/>
      <c r="S53" s="1"/>
      <c r="T53" s="1"/>
      <c r="U53" s="1"/>
      <c r="V53" s="1"/>
      <c r="W53" s="1"/>
      <c r="X53" s="1"/>
      <c r="Y53" s="1"/>
      <c r="Z53" s="1"/>
    </row>
    <row r="54" spans="1:26">
      <c r="A54" s="21">
        <v>46327</v>
      </c>
      <c r="B54" s="22" t="s">
        <v>67</v>
      </c>
      <c r="C54" s="22" t="s">
        <v>108</v>
      </c>
      <c r="D54" s="23">
        <f>'Budget 2026'!D54*Assumptions!$B$16</f>
        <v>146344.32499999998</v>
      </c>
      <c r="E54" s="24">
        <f>'Budget 2026'!F54*Assumptions!$C$16</f>
        <v>8.8476999999999997</v>
      </c>
      <c r="F54" s="25">
        <f t="shared" si="0"/>
        <v>1294.8106843024998</v>
      </c>
      <c r="G54" s="24">
        <f>'Budget 2026'!H54*Assumptions!$D$16</f>
        <v>4.6160999999999994</v>
      </c>
      <c r="H54" s="25">
        <f t="shared" si="1"/>
        <v>675.54003863249989</v>
      </c>
      <c r="I54" s="25">
        <f t="shared" si="2"/>
        <v>619.27064566999991</v>
      </c>
      <c r="J54" s="26">
        <f t="shared" si="3"/>
        <v>0.47827118912259686</v>
      </c>
      <c r="K54" s="27">
        <f>'Budget 2026'!M54*Assumptions!$E$16</f>
        <v>94.521179954082484</v>
      </c>
      <c r="L54" s="27">
        <f>'Budget 2026'!N54</f>
        <v>215.50003333333333</v>
      </c>
      <c r="M54" s="27">
        <f>'Budget 2026'!O54*Assumptions!$F$16</f>
        <v>90.665999999999983</v>
      </c>
      <c r="N54" s="25">
        <f t="shared" si="4"/>
        <v>218.58343238258402</v>
      </c>
      <c r="O54" s="26">
        <f t="shared" si="5"/>
        <v>0.16881497429126677</v>
      </c>
      <c r="P54" s="28" t="str">
        <f>Assumptions!$B$6</f>
        <v>Base</v>
      </c>
      <c r="Q54" s="1"/>
      <c r="R54" s="1"/>
      <c r="S54" s="1"/>
      <c r="T54" s="1"/>
      <c r="U54" s="1"/>
      <c r="V54" s="1"/>
      <c r="W54" s="1"/>
      <c r="X54" s="1"/>
      <c r="Y54" s="1"/>
      <c r="Z54" s="1"/>
    </row>
    <row r="55" spans="1:26">
      <c r="A55" s="21">
        <v>46327</v>
      </c>
      <c r="B55" s="22" t="s">
        <v>68</v>
      </c>
      <c r="C55" s="22" t="s">
        <v>108</v>
      </c>
      <c r="D55" s="23">
        <f>'Budget 2026'!D55*Assumptions!$B$16</f>
        <v>116391.40000000001</v>
      </c>
      <c r="E55" s="24">
        <f>'Budget 2026'!F55*Assumptions!$C$16</f>
        <v>10.71176</v>
      </c>
      <c r="F55" s="25">
        <f t="shared" si="0"/>
        <v>1246.7567428640002</v>
      </c>
      <c r="G55" s="24">
        <f>'Budget 2026'!H55*Assumptions!$D$16</f>
        <v>5.9788800000000002</v>
      </c>
      <c r="H55" s="25">
        <f t="shared" si="1"/>
        <v>695.89021363200004</v>
      </c>
      <c r="I55" s="25">
        <f t="shared" si="2"/>
        <v>550.86652923200018</v>
      </c>
      <c r="J55" s="26">
        <f t="shared" si="3"/>
        <v>0.44183962299379381</v>
      </c>
      <c r="K55" s="27">
        <f>'Budget 2026'!M55*Assumptions!$E$16</f>
        <v>76.052161314704009</v>
      </c>
      <c r="L55" s="27">
        <f>'Budget 2026'!N55</f>
        <v>180.19206249999999</v>
      </c>
      <c r="M55" s="27">
        <f>'Budget 2026'!O55*Assumptions!$F$16</f>
        <v>79.073999999999998</v>
      </c>
      <c r="N55" s="25">
        <f t="shared" si="4"/>
        <v>215.54830541729615</v>
      </c>
      <c r="O55" s="26">
        <f t="shared" si="5"/>
        <v>0.17288721849793018</v>
      </c>
      <c r="P55" s="28" t="str">
        <f>Assumptions!$B$6</f>
        <v>Base</v>
      </c>
      <c r="Q55" s="1"/>
      <c r="R55" s="1"/>
      <c r="S55" s="1"/>
      <c r="T55" s="1"/>
      <c r="U55" s="1"/>
      <c r="V55" s="1"/>
      <c r="W55" s="1"/>
      <c r="X55" s="1"/>
      <c r="Y55" s="1"/>
      <c r="Z55" s="1"/>
    </row>
    <row r="56" spans="1:26">
      <c r="A56" s="21">
        <v>46327</v>
      </c>
      <c r="B56" s="22" t="s">
        <v>69</v>
      </c>
      <c r="C56" s="22" t="s">
        <v>108</v>
      </c>
      <c r="D56" s="23">
        <f>'Budget 2026'!D56*Assumptions!$B$16</f>
        <v>95212.800000000003</v>
      </c>
      <c r="E56" s="24">
        <f>'Budget 2026'!F56*Assumptions!$C$16</f>
        <v>15.6699</v>
      </c>
      <c r="F56" s="25">
        <f t="shared" si="0"/>
        <v>1491.9750547200001</v>
      </c>
      <c r="G56" s="24">
        <f>'Budget 2026'!H56*Assumptions!$D$16</f>
        <v>8.2422199999999997</v>
      </c>
      <c r="H56" s="25">
        <f t="shared" si="1"/>
        <v>784.76484441599996</v>
      </c>
      <c r="I56" s="25">
        <f t="shared" si="2"/>
        <v>707.21021030400016</v>
      </c>
      <c r="J56" s="26">
        <f t="shared" si="3"/>
        <v>0.47400940656928259</v>
      </c>
      <c r="K56" s="27">
        <f>'Budget 2026'!M56*Assumptions!$E$16</f>
        <v>126.81787965120002</v>
      </c>
      <c r="L56" s="27">
        <f>'Budget 2026'!N56</f>
        <v>169.6500125</v>
      </c>
      <c r="M56" s="27">
        <f>'Budget 2026'!O56*Assumptions!$F$16</f>
        <v>73.320000000000007</v>
      </c>
      <c r="N56" s="25">
        <f t="shared" si="4"/>
        <v>337.42231815280019</v>
      </c>
      <c r="O56" s="26">
        <f t="shared" si="5"/>
        <v>0.22615814995387068</v>
      </c>
      <c r="P56" s="28" t="str">
        <f>Assumptions!$B$6</f>
        <v>Base</v>
      </c>
      <c r="Q56" s="1"/>
      <c r="R56" s="1"/>
      <c r="S56" s="1"/>
      <c r="T56" s="1"/>
      <c r="U56" s="1"/>
      <c r="V56" s="1"/>
      <c r="W56" s="1"/>
      <c r="X56" s="1"/>
      <c r="Y56" s="1"/>
      <c r="Z56" s="1"/>
    </row>
    <row r="57" spans="1:26">
      <c r="A57" s="21">
        <v>46327</v>
      </c>
      <c r="B57" s="22" t="s">
        <v>70</v>
      </c>
      <c r="C57" s="22" t="s">
        <v>108</v>
      </c>
      <c r="D57" s="23">
        <f>'Budget 2026'!D57*Assumptions!$B$16</f>
        <v>75976.452000000005</v>
      </c>
      <c r="E57" s="24">
        <f>'Budget 2026'!F57*Assumptions!$C$16</f>
        <v>13.06512</v>
      </c>
      <c r="F57" s="25">
        <f t="shared" si="0"/>
        <v>992.64146255424009</v>
      </c>
      <c r="G57" s="24">
        <f>'Budget 2026'!H57*Assumptions!$D$16</f>
        <v>6.8848000000000003</v>
      </c>
      <c r="H57" s="25">
        <f t="shared" si="1"/>
        <v>523.08267672960005</v>
      </c>
      <c r="I57" s="25">
        <f t="shared" si="2"/>
        <v>469.55878582464004</v>
      </c>
      <c r="J57" s="26">
        <f t="shared" si="3"/>
        <v>0.47303966591963947</v>
      </c>
      <c r="K57" s="27">
        <f>'Budget 2026'!M57*Assumptions!$E$16</f>
        <v>91.323014554990081</v>
      </c>
      <c r="L57" s="27">
        <f>'Budget 2026'!N57</f>
        <v>149.00022916666666</v>
      </c>
      <c r="M57" s="27">
        <f>'Budget 2026'!O57*Assumptions!$F$16</f>
        <v>63.752000000000002</v>
      </c>
      <c r="N57" s="25">
        <f t="shared" si="4"/>
        <v>165.48354210298328</v>
      </c>
      <c r="O57" s="26">
        <f t="shared" si="5"/>
        <v>0.16671028598499724</v>
      </c>
      <c r="P57" s="28" t="str">
        <f>Assumptions!$B$6</f>
        <v>Base</v>
      </c>
      <c r="Q57" s="1"/>
      <c r="R57" s="1"/>
      <c r="S57" s="1"/>
      <c r="T57" s="1"/>
      <c r="U57" s="1"/>
      <c r="V57" s="1"/>
      <c r="W57" s="1"/>
      <c r="X57" s="1"/>
      <c r="Y57" s="1"/>
      <c r="Z57" s="1"/>
    </row>
    <row r="58" spans="1:26">
      <c r="A58" s="21">
        <v>46327</v>
      </c>
      <c r="B58" s="22" t="s">
        <v>71</v>
      </c>
      <c r="C58" s="22" t="s">
        <v>108</v>
      </c>
      <c r="D58" s="23">
        <f>'Budget 2026'!D58*Assumptions!$B$16</f>
        <v>57410.414999999994</v>
      </c>
      <c r="E58" s="24">
        <f>'Budget 2026'!F58*Assumptions!$C$16</f>
        <v>20.489749999999997</v>
      </c>
      <c r="F58" s="25">
        <f t="shared" si="0"/>
        <v>1176.3250507462496</v>
      </c>
      <c r="G58" s="24">
        <f>'Budget 2026'!H58*Assumptions!$D$16</f>
        <v>11.850299999999999</v>
      </c>
      <c r="H58" s="25">
        <f t="shared" si="1"/>
        <v>680.33064087449998</v>
      </c>
      <c r="I58" s="25">
        <f t="shared" si="2"/>
        <v>495.99440987174967</v>
      </c>
      <c r="J58" s="26">
        <f t="shared" si="3"/>
        <v>0.42164740907038872</v>
      </c>
      <c r="K58" s="27">
        <f>'Budget 2026'!M58*Assumptions!$E$16</f>
        <v>78.813778399998725</v>
      </c>
      <c r="L58" s="27">
        <f>'Budget 2026'!N58</f>
        <v>127.77793749999999</v>
      </c>
      <c r="M58" s="27">
        <f>'Budget 2026'!O58*Assumptions!$F$16</f>
        <v>63.640499999999996</v>
      </c>
      <c r="N58" s="25">
        <f t="shared" si="4"/>
        <v>225.76219397175092</v>
      </c>
      <c r="O58" s="26">
        <f t="shared" si="5"/>
        <v>0.1919216068964352</v>
      </c>
      <c r="P58" s="28" t="str">
        <f>Assumptions!$B$6</f>
        <v>Base</v>
      </c>
      <c r="Q58" s="1"/>
      <c r="R58" s="1"/>
      <c r="S58" s="1"/>
      <c r="T58" s="1"/>
      <c r="U58" s="1"/>
      <c r="V58" s="1"/>
      <c r="W58" s="1"/>
      <c r="X58" s="1"/>
      <c r="Y58" s="1"/>
      <c r="Z58" s="1"/>
    </row>
    <row r="59" spans="1:26">
      <c r="A59" s="21">
        <v>46357</v>
      </c>
      <c r="B59" s="22" t="s">
        <v>67</v>
      </c>
      <c r="C59" s="22" t="s">
        <v>108</v>
      </c>
      <c r="D59" s="23">
        <f>'Budget 2026'!D59*Assumptions!$B$16</f>
        <v>155689.51499999998</v>
      </c>
      <c r="E59" s="24">
        <f>'Budget 2026'!F59*Assumptions!$C$16</f>
        <v>8.8682999999999996</v>
      </c>
      <c r="F59" s="25">
        <f t="shared" si="0"/>
        <v>1380.7013258744998</v>
      </c>
      <c r="G59" s="24">
        <f>'Budget 2026'!H59*Assumptions!$D$16</f>
        <v>4.585049999999999</v>
      </c>
      <c r="H59" s="25">
        <f t="shared" si="1"/>
        <v>713.84421075074977</v>
      </c>
      <c r="I59" s="25">
        <f t="shared" si="2"/>
        <v>666.85711512375008</v>
      </c>
      <c r="J59" s="26">
        <f t="shared" si="3"/>
        <v>0.48298433747166886</v>
      </c>
      <c r="K59" s="27">
        <f>'Budget 2026'!M59*Assumptions!$E$16</f>
        <v>100.79119678883848</v>
      </c>
      <c r="L59" s="27">
        <f>'Budget 2026'!N59</f>
        <v>215.50003333333333</v>
      </c>
      <c r="M59" s="27">
        <f>'Budget 2026'!O59*Assumptions!$F$16</f>
        <v>90.769499999999994</v>
      </c>
      <c r="N59" s="25">
        <f t="shared" si="4"/>
        <v>259.7963850015783</v>
      </c>
      <c r="O59" s="26">
        <f t="shared" si="5"/>
        <v>0.18816262440903367</v>
      </c>
      <c r="P59" s="28" t="str">
        <f>Assumptions!$B$6</f>
        <v>Base</v>
      </c>
      <c r="Q59" s="1"/>
      <c r="R59" s="1"/>
      <c r="S59" s="1"/>
      <c r="T59" s="1"/>
      <c r="U59" s="1"/>
      <c r="V59" s="1"/>
      <c r="W59" s="1"/>
      <c r="X59" s="1"/>
      <c r="Y59" s="1"/>
      <c r="Z59" s="1"/>
    </row>
    <row r="60" spans="1:26">
      <c r="A60" s="21">
        <v>46357</v>
      </c>
      <c r="B60" s="22" t="s">
        <v>68</v>
      </c>
      <c r="C60" s="22" t="s">
        <v>108</v>
      </c>
      <c r="D60" s="23">
        <f>'Budget 2026'!D60*Assumptions!$B$16</f>
        <v>121536.796</v>
      </c>
      <c r="E60" s="24">
        <f>'Budget 2026'!F60*Assumptions!$C$16</f>
        <v>10.83512</v>
      </c>
      <c r="F60" s="25">
        <f t="shared" si="0"/>
        <v>1316.8657690755201</v>
      </c>
      <c r="G60" s="24">
        <f>'Budget 2026'!H60*Assumptions!$D$16</f>
        <v>5.9685000000000006</v>
      </c>
      <c r="H60" s="25">
        <f t="shared" si="1"/>
        <v>725.39236692600014</v>
      </c>
      <c r="I60" s="25">
        <f t="shared" si="2"/>
        <v>591.47340214951998</v>
      </c>
      <c r="J60" s="26">
        <f t="shared" si="3"/>
        <v>0.44915238594496409</v>
      </c>
      <c r="K60" s="27">
        <f>'Budget 2026'!M60*Assumptions!$E$16</f>
        <v>80.328811913606728</v>
      </c>
      <c r="L60" s="27">
        <f>'Budget 2026'!N60</f>
        <v>180.19206249999999</v>
      </c>
      <c r="M60" s="27">
        <f>'Budget 2026'!O60*Assumptions!$F$16</f>
        <v>79.384500000000003</v>
      </c>
      <c r="N60" s="25">
        <f t="shared" si="4"/>
        <v>251.56802773591323</v>
      </c>
      <c r="O60" s="26">
        <f t="shared" si="5"/>
        <v>0.19103543705333129</v>
      </c>
      <c r="P60" s="28" t="str">
        <f>Assumptions!$B$6</f>
        <v>Base</v>
      </c>
      <c r="Q60" s="1"/>
      <c r="R60" s="1"/>
      <c r="S60" s="1"/>
      <c r="T60" s="1"/>
      <c r="U60" s="1"/>
      <c r="V60" s="1"/>
      <c r="W60" s="1"/>
      <c r="X60" s="1"/>
      <c r="Y60" s="1"/>
      <c r="Z60" s="1"/>
    </row>
    <row r="61" spans="1:26">
      <c r="A61" s="21">
        <v>46357</v>
      </c>
      <c r="B61" s="22" t="s">
        <v>69</v>
      </c>
      <c r="C61" s="22" t="s">
        <v>108</v>
      </c>
      <c r="D61" s="23">
        <f>'Budget 2026'!D61*Assumptions!$B$16</f>
        <v>99204.48000000001</v>
      </c>
      <c r="E61" s="24">
        <f>'Budget 2026'!F61*Assumptions!$C$16</f>
        <v>15.607799999999999</v>
      </c>
      <c r="F61" s="25">
        <f t="shared" si="0"/>
        <v>1548.3636829439999</v>
      </c>
      <c r="G61" s="24">
        <f>'Budget 2026'!H61*Assumptions!$D$16</f>
        <v>8.1588600000000007</v>
      </c>
      <c r="H61" s="25">
        <f t="shared" si="1"/>
        <v>809.39546369280015</v>
      </c>
      <c r="I61" s="25">
        <f t="shared" si="2"/>
        <v>738.9682192511998</v>
      </c>
      <c r="J61" s="26">
        <f t="shared" si="3"/>
        <v>0.47725752508361191</v>
      </c>
      <c r="K61" s="27">
        <f>'Budget 2026'!M61*Assumptions!$E$16</f>
        <v>131.61091305024001</v>
      </c>
      <c r="L61" s="27">
        <f>'Budget 2026'!N61</f>
        <v>169.6500125</v>
      </c>
      <c r="M61" s="27">
        <f>'Budget 2026'!O61*Assumptions!$F$16</f>
        <v>71.343999999999994</v>
      </c>
      <c r="N61" s="25">
        <f t="shared" si="4"/>
        <v>366.36329370095979</v>
      </c>
      <c r="O61" s="26">
        <f t="shared" si="5"/>
        <v>0.23661320511236128</v>
      </c>
      <c r="P61" s="28" t="str">
        <f>Assumptions!$B$6</f>
        <v>Base</v>
      </c>
      <c r="Q61" s="1"/>
      <c r="R61" s="1"/>
      <c r="S61" s="1"/>
      <c r="T61" s="1"/>
      <c r="U61" s="1"/>
      <c r="V61" s="1"/>
      <c r="W61" s="1"/>
      <c r="X61" s="1"/>
      <c r="Y61" s="1"/>
      <c r="Z61" s="1"/>
    </row>
    <row r="62" spans="1:26">
      <c r="A62" s="21">
        <v>46357</v>
      </c>
      <c r="B62" s="22" t="s">
        <v>70</v>
      </c>
      <c r="C62" s="22" t="s">
        <v>108</v>
      </c>
      <c r="D62" s="23">
        <f>'Budget 2026'!D62*Assumptions!$B$16</f>
        <v>80509.044000000009</v>
      </c>
      <c r="E62" s="24">
        <f>'Budget 2026'!F62*Assumptions!$C$16</f>
        <v>13.0548</v>
      </c>
      <c r="F62" s="25">
        <f t="shared" si="0"/>
        <v>1051.0294676112003</v>
      </c>
      <c r="G62" s="24">
        <f>'Budget 2026'!H62*Assumptions!$D$16</f>
        <v>6.8848000000000003</v>
      </c>
      <c r="H62" s="25">
        <f t="shared" si="1"/>
        <v>554.28866613119999</v>
      </c>
      <c r="I62" s="25">
        <f t="shared" si="2"/>
        <v>496.7408014800003</v>
      </c>
      <c r="J62" s="26">
        <f t="shared" si="3"/>
        <v>0.47262309648558398</v>
      </c>
      <c r="K62" s="27">
        <f>'Budget 2026'!M62*Assumptions!$E$16</f>
        <v>96.694711020230429</v>
      </c>
      <c r="L62" s="27">
        <f>'Budget 2026'!N62</f>
        <v>149.00022916666666</v>
      </c>
      <c r="M62" s="27">
        <f>'Budget 2026'!O62*Assumptions!$F$16</f>
        <v>65.624000000000009</v>
      </c>
      <c r="N62" s="25">
        <f t="shared" si="4"/>
        <v>185.42186129310318</v>
      </c>
      <c r="O62" s="26">
        <f t="shared" si="5"/>
        <v>0.17641927938950513</v>
      </c>
      <c r="P62" s="28" t="str">
        <f>Assumptions!$B$6</f>
        <v>Base</v>
      </c>
      <c r="Q62" s="1"/>
      <c r="R62" s="1"/>
      <c r="S62" s="1"/>
      <c r="T62" s="1"/>
      <c r="U62" s="1"/>
      <c r="V62" s="1"/>
      <c r="W62" s="1"/>
      <c r="X62" s="1"/>
      <c r="Y62" s="1"/>
      <c r="Z62" s="1"/>
    </row>
    <row r="63" spans="1:26">
      <c r="A63" s="21">
        <v>46357</v>
      </c>
      <c r="B63" s="22" t="s">
        <v>71</v>
      </c>
      <c r="C63" s="22" t="s">
        <v>108</v>
      </c>
      <c r="D63" s="23">
        <f>'Budget 2026'!D63*Assumptions!$B$16</f>
        <v>62640.27</v>
      </c>
      <c r="E63" s="24">
        <f>'Budget 2026'!F63*Assumptions!$C$16</f>
        <v>20.36675</v>
      </c>
      <c r="F63" s="25">
        <f t="shared" si="0"/>
        <v>1275.7787190224999</v>
      </c>
      <c r="G63" s="24">
        <f>'Budget 2026'!H63*Assumptions!$D$16</f>
        <v>11.693549999999998</v>
      </c>
      <c r="H63" s="25">
        <f t="shared" si="1"/>
        <v>732.48712925849986</v>
      </c>
      <c r="I63" s="25">
        <f t="shared" si="2"/>
        <v>543.29158976400004</v>
      </c>
      <c r="J63" s="26">
        <f t="shared" si="3"/>
        <v>0.42585095805663647</v>
      </c>
      <c r="K63" s="27">
        <f>'Budget 2026'!M63*Assumptions!$E$16</f>
        <v>85.477174174507496</v>
      </c>
      <c r="L63" s="27">
        <f>'Budget 2026'!N63</f>
        <v>127.77793749999999</v>
      </c>
      <c r="M63" s="27">
        <f>'Budget 2026'!O63*Assumptions!$F$16</f>
        <v>61.654999999999994</v>
      </c>
      <c r="N63" s="25">
        <f t="shared" si="4"/>
        <v>268.38147808949259</v>
      </c>
      <c r="O63" s="26">
        <f t="shared" si="5"/>
        <v>0.21036679330654312</v>
      </c>
      <c r="P63" s="28" t="str">
        <f>Assumptions!$B$6</f>
        <v>Base</v>
      </c>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1">
    <mergeCell ref="A1:P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00"/>
  <sheetViews>
    <sheetView workbookViewId="0">
      <selection sqref="A1:M1"/>
    </sheetView>
  </sheetViews>
  <sheetFormatPr baseColWidth="10" defaultColWidth="8.83203125" defaultRowHeight="15"/>
  <cols>
    <col min="1" max="1" width="22" customWidth="1"/>
    <col min="2" max="13" width="15" customWidth="1"/>
  </cols>
  <sheetData>
    <row r="1" spans="1:26" ht="37.25" customHeight="1">
      <c r="A1" s="83" t="s">
        <v>109</v>
      </c>
      <c r="B1" s="83"/>
      <c r="C1" s="83"/>
      <c r="D1" s="83"/>
      <c r="E1" s="83"/>
      <c r="F1" s="83"/>
      <c r="G1" s="83"/>
      <c r="H1" s="83"/>
      <c r="I1" s="83"/>
      <c r="J1" s="83"/>
      <c r="K1" s="83"/>
      <c r="L1" s="83"/>
      <c r="M1" s="83"/>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26.75" customHeight="1">
      <c r="A3" s="85" t="s">
        <v>110</v>
      </c>
      <c r="B3" s="85"/>
      <c r="C3" s="85"/>
      <c r="D3" s="85"/>
      <c r="E3" s="85"/>
      <c r="F3" s="85"/>
      <c r="G3" s="85"/>
      <c r="H3" s="85"/>
      <c r="I3" s="85"/>
      <c r="J3" s="85"/>
      <c r="K3" s="85"/>
      <c r="L3" s="85"/>
      <c r="M3" s="85"/>
      <c r="N3" s="1"/>
      <c r="O3" s="1"/>
      <c r="P3" s="1"/>
      <c r="Q3" s="1"/>
      <c r="R3" s="1"/>
      <c r="S3" s="1"/>
      <c r="T3" s="1"/>
      <c r="U3" s="1"/>
      <c r="V3" s="1"/>
      <c r="W3" s="1"/>
      <c r="X3" s="1"/>
      <c r="Y3" s="1"/>
      <c r="Z3" s="1"/>
    </row>
    <row r="4" spans="1:26" ht="32">
      <c r="A4" s="7" t="s">
        <v>111</v>
      </c>
      <c r="B4" s="7" t="s">
        <v>112</v>
      </c>
      <c r="C4" s="7" t="s">
        <v>113</v>
      </c>
      <c r="D4" s="7" t="s">
        <v>114</v>
      </c>
      <c r="E4" s="7" t="s">
        <v>115</v>
      </c>
      <c r="F4" s="7" t="s">
        <v>116</v>
      </c>
      <c r="G4" s="7" t="s">
        <v>117</v>
      </c>
      <c r="H4" s="7" t="s">
        <v>118</v>
      </c>
      <c r="I4" s="7" t="s">
        <v>119</v>
      </c>
      <c r="J4" s="7" t="s">
        <v>120</v>
      </c>
      <c r="K4" s="7" t="s">
        <v>121</v>
      </c>
      <c r="L4" s="7" t="s">
        <v>122</v>
      </c>
      <c r="M4" s="7" t="s">
        <v>123</v>
      </c>
      <c r="N4" s="1"/>
      <c r="O4" s="1"/>
      <c r="P4" s="1"/>
      <c r="Q4" s="1"/>
      <c r="R4" s="1"/>
      <c r="S4" s="1"/>
      <c r="T4" s="1"/>
      <c r="U4" s="1"/>
      <c r="V4" s="1"/>
      <c r="W4" s="1"/>
      <c r="X4" s="1"/>
      <c r="Y4" s="1"/>
      <c r="Z4" s="1"/>
    </row>
    <row r="5" spans="1:26">
      <c r="A5" s="29">
        <v>46023</v>
      </c>
      <c r="B5" s="20">
        <f>SUM('Budget 2026'!I4:I8)</f>
        <v>5159.29790817922</v>
      </c>
      <c r="C5" s="20">
        <f>SUM('Rolling Forecast'!F4:F8)</f>
        <v>5110.5859300000002</v>
      </c>
      <c r="D5" s="20">
        <f t="shared" ref="D5:D16" si="0">C5-B5</f>
        <v>-48.711978179219841</v>
      </c>
      <c r="E5" s="30">
        <f t="shared" ref="E5:E16" si="1">IFERROR(D5/B5,0)</f>
        <v>-9.4415905121499177E-3</v>
      </c>
      <c r="F5" s="20">
        <f>SUM('Budget 2026'!K4:K8)</f>
        <v>2397.5827536368201</v>
      </c>
      <c r="G5" s="20">
        <f>SUM('Rolling Forecast'!I4:I8)</f>
        <v>2351.0351099999998</v>
      </c>
      <c r="H5" s="20">
        <f t="shared" ref="H5:H16" si="2">G5-F5</f>
        <v>-46.547643636820339</v>
      </c>
      <c r="I5" s="20">
        <f>SUM('Budget 2026'!P4:P8)</f>
        <v>824.27255727933141</v>
      </c>
      <c r="J5" s="20">
        <f>SUM('Rolling Forecast'!N4:N8)</f>
        <v>1078.8351099999998</v>
      </c>
      <c r="K5" s="20">
        <f t="shared" ref="K5:K16" si="3">J5-I5</f>
        <v>254.56255272066835</v>
      </c>
      <c r="L5" s="30">
        <f t="shared" ref="L5:L16" si="4">IFERROR(I5/B5,0)</f>
        <v>0.15976448190219497</v>
      </c>
      <c r="M5" s="30">
        <f t="shared" ref="M5:M16" si="5">IFERROR(J5/C5,0)</f>
        <v>0.21109812549419352</v>
      </c>
      <c r="N5" s="1"/>
      <c r="O5" s="1"/>
      <c r="P5" s="1"/>
      <c r="Q5" s="1"/>
      <c r="R5" s="1"/>
      <c r="S5" s="1"/>
      <c r="T5" s="1"/>
      <c r="U5" s="1"/>
      <c r="V5" s="1"/>
      <c r="W5" s="1"/>
      <c r="X5" s="1"/>
      <c r="Y5" s="1"/>
      <c r="Z5" s="1"/>
    </row>
    <row r="6" spans="1:26">
      <c r="A6" s="29">
        <v>46054</v>
      </c>
      <c r="B6" s="20">
        <f>SUM('Budget 2026'!I9:I13)</f>
        <v>5273.863357808561</v>
      </c>
      <c r="C6" s="20">
        <f>SUM('Rolling Forecast'!F9:F13)</f>
        <v>5219.5504999999994</v>
      </c>
      <c r="D6" s="20">
        <f t="shared" si="0"/>
        <v>-54.312857808561603</v>
      </c>
      <c r="E6" s="30">
        <f t="shared" si="1"/>
        <v>-1.0298495452701704E-2</v>
      </c>
      <c r="F6" s="20">
        <f>SUM('Budget 2026'!K9:K13)</f>
        <v>2435.3654477221608</v>
      </c>
      <c r="G6" s="20">
        <f>SUM('Rolling Forecast'!I9:I13)</f>
        <v>2401.4162999999999</v>
      </c>
      <c r="H6" s="20">
        <f t="shared" si="2"/>
        <v>-33.949147722160887</v>
      </c>
      <c r="I6" s="20">
        <f>SUM('Budget 2026'!P9:P13)</f>
        <v>860.69777480500306</v>
      </c>
      <c r="J6" s="20">
        <f>SUM('Rolling Forecast'!N9:N13)</f>
        <v>1124.5163000000002</v>
      </c>
      <c r="K6" s="20">
        <f t="shared" si="3"/>
        <v>263.81852519499716</v>
      </c>
      <c r="L6" s="30">
        <f t="shared" si="4"/>
        <v>0.16320062095098484</v>
      </c>
      <c r="M6" s="30">
        <f t="shared" si="5"/>
        <v>0.21544313059141784</v>
      </c>
      <c r="N6" s="1"/>
      <c r="O6" s="1"/>
      <c r="P6" s="1"/>
      <c r="Q6" s="1"/>
      <c r="R6" s="1"/>
      <c r="S6" s="1"/>
      <c r="T6" s="1"/>
      <c r="U6" s="1"/>
      <c r="V6" s="1"/>
      <c r="W6" s="1"/>
      <c r="X6" s="1"/>
      <c r="Y6" s="1"/>
      <c r="Z6" s="1"/>
    </row>
    <row r="7" spans="1:26">
      <c r="A7" s="29">
        <v>46082</v>
      </c>
      <c r="B7" s="20">
        <f>SUM('Budget 2026'!I14:I18)</f>
        <v>5497.3195756539608</v>
      </c>
      <c r="C7" s="20">
        <f>SUM('Rolling Forecast'!F14:F18)</f>
        <v>5543.7374399999999</v>
      </c>
      <c r="D7" s="20">
        <f t="shared" si="0"/>
        <v>46.417864346039096</v>
      </c>
      <c r="E7" s="30">
        <f t="shared" si="1"/>
        <v>8.4437267485067448E-3</v>
      </c>
      <c r="F7" s="20">
        <f>SUM('Budget 2026'!K14:K18)</f>
        <v>2537.0929075811105</v>
      </c>
      <c r="G7" s="20">
        <f>SUM('Rolling Forecast'!I14:I18)</f>
        <v>2557.4789999999998</v>
      </c>
      <c r="H7" s="20">
        <f t="shared" si="2"/>
        <v>20.386092418889348</v>
      </c>
      <c r="I7" s="20">
        <f>SUM('Budget 2026'!P14:P18)</f>
        <v>886.04063097879111</v>
      </c>
      <c r="J7" s="20">
        <f>SUM('Rolling Forecast'!N14:N18)</f>
        <v>1260.0789999999997</v>
      </c>
      <c r="K7" s="20">
        <f t="shared" si="3"/>
        <v>374.03836902120861</v>
      </c>
      <c r="L7" s="30">
        <f t="shared" si="4"/>
        <v>0.16117684605836069</v>
      </c>
      <c r="M7" s="30">
        <f t="shared" si="5"/>
        <v>0.22729774157558222</v>
      </c>
      <c r="N7" s="1"/>
      <c r="O7" s="1"/>
      <c r="P7" s="1"/>
      <c r="Q7" s="1"/>
      <c r="R7" s="1"/>
      <c r="S7" s="1"/>
      <c r="T7" s="1"/>
      <c r="U7" s="1"/>
      <c r="V7" s="1"/>
      <c r="W7" s="1"/>
      <c r="X7" s="1"/>
      <c r="Y7" s="1"/>
      <c r="Z7" s="1"/>
    </row>
    <row r="8" spans="1:26">
      <c r="A8" s="29">
        <v>46113</v>
      </c>
      <c r="B8" s="20">
        <f>SUM('Budget 2026'!I19:I23)</f>
        <v>5581.15222176104</v>
      </c>
      <c r="C8" s="20">
        <f>SUM('Rolling Forecast'!F19:F23)</f>
        <v>5554.7514799999999</v>
      </c>
      <c r="D8" s="20">
        <f t="shared" si="0"/>
        <v>-26.400741761040081</v>
      </c>
      <c r="E8" s="30">
        <f t="shared" si="1"/>
        <v>-4.7303389536846865E-3</v>
      </c>
      <c r="F8" s="20">
        <f>SUM('Budget 2026'!K19:K23)</f>
        <v>2576.0699304902305</v>
      </c>
      <c r="G8" s="20">
        <f>SUM('Rolling Forecast'!I19:I23)</f>
        <v>2544.7212900000004</v>
      </c>
      <c r="H8" s="20">
        <f t="shared" si="2"/>
        <v>-31.348640490230082</v>
      </c>
      <c r="I8" s="20">
        <f>SUM('Budget 2026'!P19:P23)</f>
        <v>920.32616782282616</v>
      </c>
      <c r="J8" s="20">
        <f>SUM('Rolling Forecast'!N19:N23)</f>
        <v>1254.3212899999999</v>
      </c>
      <c r="K8" s="20">
        <f t="shared" si="3"/>
        <v>333.9951221771737</v>
      </c>
      <c r="L8" s="30">
        <f t="shared" si="4"/>
        <v>0.16489895477755531</v>
      </c>
      <c r="M8" s="30">
        <f t="shared" si="5"/>
        <v>0.22581051456869136</v>
      </c>
      <c r="N8" s="1"/>
      <c r="O8" s="1"/>
      <c r="P8" s="1"/>
      <c r="Q8" s="1"/>
      <c r="R8" s="1"/>
      <c r="S8" s="1"/>
      <c r="T8" s="1"/>
      <c r="U8" s="1"/>
      <c r="V8" s="1"/>
      <c r="W8" s="1"/>
      <c r="X8" s="1"/>
      <c r="Y8" s="1"/>
      <c r="Z8" s="1"/>
    </row>
    <row r="9" spans="1:26">
      <c r="A9" s="29">
        <v>46143</v>
      </c>
      <c r="B9" s="20">
        <f>SUM('Budget 2026'!I24:I28)</f>
        <v>5627.6946984827</v>
      </c>
      <c r="C9" s="20">
        <f>SUM('Rolling Forecast'!F24:F28)</f>
        <v>5551.74107</v>
      </c>
      <c r="D9" s="20">
        <f t="shared" si="0"/>
        <v>-75.953628482699969</v>
      </c>
      <c r="E9" s="30">
        <f t="shared" si="1"/>
        <v>-1.3496401733231559E-2</v>
      </c>
      <c r="F9" s="20">
        <f>SUM('Budget 2026'!K24:K28)</f>
        <v>2598.2406737459</v>
      </c>
      <c r="G9" s="20">
        <f>SUM('Rolling Forecast'!I24:I28)</f>
        <v>2551.2537299999999</v>
      </c>
      <c r="H9" s="20">
        <f t="shared" si="2"/>
        <v>-46.986943745900135</v>
      </c>
      <c r="I9" s="20">
        <f>SUM('Budget 2026'!P24:P28)</f>
        <v>939.33631589696461</v>
      </c>
      <c r="J9" s="20">
        <f>SUM('Rolling Forecast'!N24:N28)</f>
        <v>1240.5537299999996</v>
      </c>
      <c r="K9" s="20">
        <f t="shared" si="3"/>
        <v>301.21741410303503</v>
      </c>
      <c r="L9" s="30">
        <f t="shared" si="4"/>
        <v>0.16691316182276589</v>
      </c>
      <c r="M9" s="30">
        <f t="shared" si="5"/>
        <v>0.22345309594923157</v>
      </c>
      <c r="N9" s="1"/>
      <c r="O9" s="1"/>
      <c r="P9" s="1"/>
      <c r="Q9" s="1"/>
      <c r="R9" s="1"/>
      <c r="S9" s="1"/>
      <c r="T9" s="1"/>
      <c r="U9" s="1"/>
      <c r="V9" s="1"/>
      <c r="W9" s="1"/>
      <c r="X9" s="1"/>
      <c r="Y9" s="1"/>
      <c r="Z9" s="1"/>
    </row>
    <row r="10" spans="1:26">
      <c r="A10" s="29">
        <v>46174</v>
      </c>
      <c r="B10" s="20">
        <f>SUM('Budget 2026'!I29:I33)</f>
        <v>5765.8792984530992</v>
      </c>
      <c r="C10" s="20">
        <f>SUM('Rolling Forecast'!F29:F33)</f>
        <v>5700.2679200000002</v>
      </c>
      <c r="D10" s="20">
        <f t="shared" si="0"/>
        <v>-65.611378453098951</v>
      </c>
      <c r="E10" s="30">
        <f t="shared" si="1"/>
        <v>-1.1379249383645876E-2</v>
      </c>
      <c r="F10" s="20">
        <f>SUM('Budget 2026'!K29:K33)</f>
        <v>2670.2804548128993</v>
      </c>
      <c r="G10" s="20">
        <f>SUM('Rolling Forecast'!I29:I33)</f>
        <v>2639.6060200000006</v>
      </c>
      <c r="H10" s="20">
        <f t="shared" si="2"/>
        <v>-30.674434812898653</v>
      </c>
      <c r="I10" s="20">
        <f>SUM('Budget 2026'!P29:P33)</f>
        <v>1030.3958789406997</v>
      </c>
      <c r="J10" s="20">
        <f>SUM('Rolling Forecast'!N29:N33)</f>
        <v>1345.9060200000004</v>
      </c>
      <c r="K10" s="20">
        <f t="shared" si="3"/>
        <v>315.51014105930062</v>
      </c>
      <c r="L10" s="30">
        <f t="shared" si="4"/>
        <v>0.17870576638972305</v>
      </c>
      <c r="M10" s="30">
        <f t="shared" si="5"/>
        <v>0.23611276502947257</v>
      </c>
      <c r="N10" s="1"/>
      <c r="O10" s="1"/>
      <c r="P10" s="1"/>
      <c r="Q10" s="1"/>
      <c r="R10" s="1"/>
      <c r="S10" s="1"/>
      <c r="T10" s="1"/>
      <c r="U10" s="1"/>
      <c r="V10" s="1"/>
      <c r="W10" s="1"/>
      <c r="X10" s="1"/>
      <c r="Y10" s="1"/>
      <c r="Z10" s="1"/>
    </row>
    <row r="11" spans="1:26">
      <c r="A11" s="29">
        <v>46204</v>
      </c>
      <c r="B11" s="20">
        <f>SUM('Budget 2026'!I34:I38)</f>
        <v>5963.33082320842</v>
      </c>
      <c r="C11" s="20">
        <f>SUM('Rolling Forecast'!F34:F38)</f>
        <v>5898.7151899999999</v>
      </c>
      <c r="D11" s="20">
        <f t="shared" si="0"/>
        <v>-64.615633208420149</v>
      </c>
      <c r="E11" s="30">
        <f t="shared" si="1"/>
        <v>-1.0835493640055229E-2</v>
      </c>
      <c r="F11" s="20">
        <f>SUM('Budget 2026'!K34:K38)</f>
        <v>2765.6741308382202</v>
      </c>
      <c r="G11" s="20">
        <f>SUM('Rolling Forecast'!I34:I38)</f>
        <v>2717.9397099999996</v>
      </c>
      <c r="H11" s="20">
        <f t="shared" si="2"/>
        <v>-47.734420838220558</v>
      </c>
      <c r="I11" s="20">
        <f>SUM('Budget 2026'!P34:P38)</f>
        <v>1103.6631221505841</v>
      </c>
      <c r="J11" s="20">
        <f>SUM('Rolling Forecast'!N34:N38)</f>
        <v>1390.4397099999996</v>
      </c>
      <c r="K11" s="20">
        <f t="shared" si="3"/>
        <v>286.77658784941559</v>
      </c>
      <c r="L11" s="30">
        <f t="shared" si="4"/>
        <v>0.18507494466939298</v>
      </c>
      <c r="M11" s="30">
        <f t="shared" si="5"/>
        <v>0.2357190786829631</v>
      </c>
      <c r="N11" s="1"/>
      <c r="O11" s="1"/>
      <c r="P11" s="1"/>
      <c r="Q11" s="1"/>
      <c r="R11" s="1"/>
      <c r="S11" s="1"/>
      <c r="T11" s="1"/>
      <c r="U11" s="1"/>
      <c r="V11" s="1"/>
      <c r="W11" s="1"/>
      <c r="X11" s="1"/>
      <c r="Y11" s="1"/>
      <c r="Z11" s="1"/>
    </row>
    <row r="12" spans="1:26">
      <c r="A12" s="29">
        <v>46235</v>
      </c>
      <c r="B12" s="20">
        <f>SUM('Budget 2026'!I39:I43)</f>
        <v>5670.7886578480902</v>
      </c>
      <c r="C12" s="20">
        <f>SUM('Rolling Forecast'!F39:F43)</f>
        <v>5671.2930699999997</v>
      </c>
      <c r="D12" s="20">
        <f t="shared" si="0"/>
        <v>0.50441215190949151</v>
      </c>
      <c r="E12" s="30">
        <f t="shared" si="1"/>
        <v>8.8949206599581198E-5</v>
      </c>
      <c r="F12" s="20">
        <f>SUM('Budget 2026'!K39:K43)</f>
        <v>2598.1801976985398</v>
      </c>
      <c r="G12" s="20">
        <f>SUM('Rolling Forecast'!I39:I43)</f>
        <v>2635.7712300000003</v>
      </c>
      <c r="H12" s="20">
        <f t="shared" si="2"/>
        <v>37.591032301460473</v>
      </c>
      <c r="I12" s="20">
        <f>SUM('Budget 2026'!P39:P43)</f>
        <v>954.45399861167573</v>
      </c>
      <c r="J12" s="20">
        <f>SUM('Rolling Forecast'!N39:N43)</f>
        <v>1333.0712299999998</v>
      </c>
      <c r="K12" s="20">
        <f t="shared" si="3"/>
        <v>378.61723138832406</v>
      </c>
      <c r="L12" s="30">
        <f t="shared" si="4"/>
        <v>0.16831062770973818</v>
      </c>
      <c r="M12" s="30">
        <f t="shared" si="5"/>
        <v>0.23505595876391552</v>
      </c>
      <c r="N12" s="1"/>
      <c r="O12" s="1"/>
      <c r="P12" s="1"/>
      <c r="Q12" s="1"/>
      <c r="R12" s="1"/>
      <c r="S12" s="1"/>
      <c r="T12" s="1"/>
      <c r="U12" s="1"/>
      <c r="V12" s="1"/>
      <c r="W12" s="1"/>
      <c r="X12" s="1"/>
      <c r="Y12" s="1"/>
      <c r="Z12" s="1"/>
    </row>
    <row r="13" spans="1:26">
      <c r="A13" s="29">
        <v>46266</v>
      </c>
      <c r="B13" s="20">
        <f>SUM('Budget 2026'!I44:I48)</f>
        <v>5539.2844537235696</v>
      </c>
      <c r="C13" s="20">
        <f>SUM('Rolling Forecast'!F44:F48)</f>
        <v>5528.95046</v>
      </c>
      <c r="D13" s="20">
        <f t="shared" si="0"/>
        <v>-10.33399372356962</v>
      </c>
      <c r="E13" s="30">
        <f t="shared" si="1"/>
        <v>-1.8655827859901638E-3</v>
      </c>
      <c r="F13" s="20">
        <f>SUM('Budget 2026'!K44:K48)</f>
        <v>2577.6747578708696</v>
      </c>
      <c r="G13" s="20">
        <f>SUM('Rolling Forecast'!I44:I48)</f>
        <v>2555.0192299999999</v>
      </c>
      <c r="H13" s="20">
        <f t="shared" si="2"/>
        <v>-22.655527870869719</v>
      </c>
      <c r="I13" s="20">
        <f>SUM('Budget 2026'!P44:P48)</f>
        <v>953.06335652995244</v>
      </c>
      <c r="J13" s="20">
        <f>SUM('Rolling Forecast'!N44:N48)</f>
        <v>1262.6192299999998</v>
      </c>
      <c r="K13" s="20">
        <f t="shared" si="3"/>
        <v>309.55587347004735</v>
      </c>
      <c r="L13" s="30">
        <f t="shared" si="4"/>
        <v>0.17205531950779174</v>
      </c>
      <c r="M13" s="30">
        <f t="shared" si="5"/>
        <v>0.22836508287325111</v>
      </c>
      <c r="N13" s="1"/>
      <c r="O13" s="1"/>
      <c r="P13" s="1"/>
      <c r="Q13" s="1"/>
      <c r="R13" s="1"/>
      <c r="S13" s="1"/>
      <c r="T13" s="1"/>
      <c r="U13" s="1"/>
      <c r="V13" s="1"/>
      <c r="W13" s="1"/>
      <c r="X13" s="1"/>
      <c r="Y13" s="1"/>
      <c r="Z13" s="1"/>
    </row>
    <row r="14" spans="1:26">
      <c r="A14" s="29">
        <v>46296</v>
      </c>
      <c r="B14" s="20">
        <f>SUM('Budget 2026'!I49:I53)</f>
        <v>5799.0114874586798</v>
      </c>
      <c r="C14" s="20">
        <f>SUM('Rolling Forecast'!F49:F53)</f>
        <v>5799.0114874586798</v>
      </c>
      <c r="D14" s="20">
        <f t="shared" si="0"/>
        <v>0</v>
      </c>
      <c r="E14" s="30">
        <f t="shared" si="1"/>
        <v>0</v>
      </c>
      <c r="F14" s="20">
        <f>SUM('Budget 2026'!K49:K53)</f>
        <v>2674.9731161548898</v>
      </c>
      <c r="G14" s="20">
        <f>SUM('Rolling Forecast'!I49:I53)</f>
        <v>2674.9731161548898</v>
      </c>
      <c r="H14" s="20">
        <f t="shared" si="2"/>
        <v>0</v>
      </c>
      <c r="I14" s="20">
        <f>SUM('Budget 2026'!P49:P53)</f>
        <v>1031.6624901834164</v>
      </c>
      <c r="J14" s="20">
        <f>SUM('Rolling Forecast'!N49:N53)</f>
        <v>1031.6624901834164</v>
      </c>
      <c r="K14" s="20">
        <f t="shared" si="3"/>
        <v>0</v>
      </c>
      <c r="L14" s="30">
        <f t="shared" si="4"/>
        <v>0.17790316373998516</v>
      </c>
      <c r="M14" s="30">
        <f t="shared" si="5"/>
        <v>0.17790316373998516</v>
      </c>
      <c r="N14" s="1"/>
      <c r="O14" s="1"/>
      <c r="P14" s="1"/>
      <c r="Q14" s="1"/>
      <c r="R14" s="1"/>
      <c r="S14" s="1"/>
      <c r="T14" s="1"/>
      <c r="U14" s="1"/>
      <c r="V14" s="1"/>
      <c r="W14" s="1"/>
      <c r="X14" s="1"/>
      <c r="Y14" s="1"/>
      <c r="Z14" s="1"/>
    </row>
    <row r="15" spans="1:26">
      <c r="A15" s="29">
        <v>46327</v>
      </c>
      <c r="B15" s="20">
        <f>SUM('Budget 2026'!I54:I58)</f>
        <v>6202.5089951869904</v>
      </c>
      <c r="C15" s="20">
        <f>SUM('Rolling Forecast'!F54:F58)</f>
        <v>6202.5089951869904</v>
      </c>
      <c r="D15" s="20">
        <f t="shared" si="0"/>
        <v>0</v>
      </c>
      <c r="E15" s="30">
        <f t="shared" si="1"/>
        <v>0</v>
      </c>
      <c r="F15" s="20">
        <f>SUM('Budget 2026'!K54:K58)</f>
        <v>2842.9005809023897</v>
      </c>
      <c r="G15" s="20">
        <f>SUM('Rolling Forecast'!I54:I58)</f>
        <v>2842.9005809023897</v>
      </c>
      <c r="H15" s="20">
        <f t="shared" si="2"/>
        <v>0</v>
      </c>
      <c r="I15" s="20">
        <f>SUM('Budget 2026'!P54:P58)</f>
        <v>1162.7997920274145</v>
      </c>
      <c r="J15" s="20">
        <f>SUM('Rolling Forecast'!N54:N58)</f>
        <v>1162.7997920274145</v>
      </c>
      <c r="K15" s="20">
        <f t="shared" si="3"/>
        <v>0</v>
      </c>
      <c r="L15" s="30">
        <f t="shared" si="4"/>
        <v>0.18747248781577283</v>
      </c>
      <c r="M15" s="30">
        <f t="shared" si="5"/>
        <v>0.18747248781577283</v>
      </c>
      <c r="N15" s="1"/>
      <c r="O15" s="1"/>
      <c r="P15" s="1"/>
      <c r="Q15" s="1"/>
      <c r="R15" s="1"/>
      <c r="S15" s="1"/>
      <c r="T15" s="1"/>
      <c r="U15" s="1"/>
      <c r="V15" s="1"/>
      <c r="W15" s="1"/>
      <c r="X15" s="1"/>
      <c r="Y15" s="1"/>
      <c r="Z15" s="1"/>
    </row>
    <row r="16" spans="1:26">
      <c r="A16" s="29">
        <v>46357</v>
      </c>
      <c r="B16" s="20">
        <f>SUM('Budget 2026'!I59:I63)</f>
        <v>6572.7389645277208</v>
      </c>
      <c r="C16" s="20">
        <f>SUM('Rolling Forecast'!F59:F63)</f>
        <v>6572.7389645277208</v>
      </c>
      <c r="D16" s="20">
        <f t="shared" si="0"/>
        <v>0</v>
      </c>
      <c r="E16" s="30">
        <f t="shared" si="1"/>
        <v>0</v>
      </c>
      <c r="F16" s="20">
        <f>SUM('Budget 2026'!K59:K63)</f>
        <v>3037.3311277684702</v>
      </c>
      <c r="G16" s="20">
        <f>SUM('Rolling Forecast'!I59:I63)</f>
        <v>3037.3311277684702</v>
      </c>
      <c r="H16" s="20">
        <f t="shared" si="2"/>
        <v>0</v>
      </c>
      <c r="I16" s="20">
        <f>SUM('Budget 2026'!P59:P63)</f>
        <v>1331.531045821047</v>
      </c>
      <c r="J16" s="20">
        <f>SUM('Rolling Forecast'!N59:N63)</f>
        <v>1331.531045821047</v>
      </c>
      <c r="K16" s="20">
        <f t="shared" si="3"/>
        <v>0</v>
      </c>
      <c r="L16" s="30">
        <f t="shared" si="4"/>
        <v>0.20258389280437872</v>
      </c>
      <c r="M16" s="30">
        <f t="shared" si="5"/>
        <v>0.20258389280437872</v>
      </c>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26.75" customHeight="1">
      <c r="A19" s="85" t="s">
        <v>124</v>
      </c>
      <c r="B19" s="85"/>
      <c r="C19" s="85"/>
      <c r="D19" s="85"/>
      <c r="E19" s="85"/>
      <c r="F19" s="85"/>
      <c r="G19" s="85"/>
      <c r="H19" s="85"/>
      <c r="I19" s="1"/>
      <c r="J19" s="1"/>
      <c r="K19" s="1"/>
      <c r="L19" s="1"/>
      <c r="M19" s="1"/>
      <c r="N19" s="1"/>
      <c r="O19" s="1"/>
      <c r="P19" s="1"/>
      <c r="Q19" s="1"/>
      <c r="R19" s="1"/>
      <c r="S19" s="1"/>
      <c r="T19" s="1"/>
      <c r="U19" s="1"/>
      <c r="V19" s="1"/>
      <c r="W19" s="1"/>
      <c r="X19" s="1"/>
      <c r="Y19" s="1"/>
      <c r="Z19" s="1"/>
    </row>
    <row r="20" spans="1:26" ht="32">
      <c r="A20" s="7" t="s">
        <v>60</v>
      </c>
      <c r="B20" s="7" t="s">
        <v>112</v>
      </c>
      <c r="C20" s="7" t="s">
        <v>113</v>
      </c>
      <c r="D20" s="7" t="s">
        <v>114</v>
      </c>
      <c r="E20" s="7" t="s">
        <v>119</v>
      </c>
      <c r="F20" s="7" t="s">
        <v>120</v>
      </c>
      <c r="G20" s="7" t="s">
        <v>121</v>
      </c>
      <c r="H20" s="1"/>
      <c r="I20" s="1"/>
      <c r="J20" s="1"/>
      <c r="K20" s="1"/>
      <c r="L20" s="1"/>
      <c r="M20" s="1"/>
      <c r="N20" s="1"/>
      <c r="O20" s="1"/>
      <c r="P20" s="1"/>
      <c r="Q20" s="1"/>
      <c r="R20" s="1"/>
      <c r="S20" s="1"/>
      <c r="T20" s="1"/>
      <c r="U20" s="1"/>
      <c r="V20" s="1"/>
      <c r="W20" s="1"/>
      <c r="X20" s="1"/>
      <c r="Y20" s="1"/>
      <c r="Z20" s="1"/>
    </row>
    <row r="21" spans="1:26">
      <c r="A21" s="1" t="s">
        <v>67</v>
      </c>
      <c r="B21" s="20">
        <f>'Budget 2026'!I4+'Budget 2026'!I9+'Budget 2026'!I14+'Budget 2026'!I19+'Budget 2026'!I24+'Budget 2026'!I29+'Budget 2026'!I34+'Budget 2026'!I39+'Budget 2026'!I44+'Budget 2026'!I49+'Budget 2026'!I54+'Budget 2026'!I59</f>
        <v>14398.500912175999</v>
      </c>
      <c r="C21" s="20">
        <f>'Rolling Forecast'!F4+'Rolling Forecast'!F9+'Rolling Forecast'!F14+'Rolling Forecast'!F19+'Rolling Forecast'!F24+'Rolling Forecast'!F29+'Rolling Forecast'!F34+'Rolling Forecast'!F39+'Rolling Forecast'!F44+'Rolling Forecast'!F49+'Rolling Forecast'!F54+'Rolling Forecast'!F59</f>
        <v>14213.227493059998</v>
      </c>
      <c r="D21" s="20">
        <f>C21-B21</f>
        <v>-185.27341911600161</v>
      </c>
      <c r="E21" s="20">
        <f>'Budget 2026'!P4+'Budget 2026'!P9+'Budget 2026'!P14+'Budget 2026'!P19+'Budget 2026'!P24+'Budget 2026'!P29+'Budget 2026'!P34+'Budget 2026'!P39+'Budget 2026'!P44+'Budget 2026'!P49+'Budget 2026'!P54+'Budget 2026'!P59</f>
        <v>2246.3856405598199</v>
      </c>
      <c r="F21" s="20">
        <f>'Rolling Forecast'!N4+'Rolling Forecast'!N9+'Rolling Forecast'!N14+'Rolling Forecast'!N19+'Rolling Forecast'!N24+'Rolling Forecast'!N29+'Rolling Forecast'!N34+'Rolling Forecast'!N39+'Rolling Forecast'!N44+'Rolling Forecast'!N49+'Rolling Forecast'!N54+'Rolling Forecast'!N59</f>
        <v>2922.701335782619</v>
      </c>
      <c r="G21" s="20">
        <f>F21-E21</f>
        <v>676.31569522279915</v>
      </c>
      <c r="H21" s="1"/>
      <c r="I21" s="1"/>
      <c r="J21" s="1"/>
      <c r="K21" s="1"/>
      <c r="L21" s="1"/>
      <c r="M21" s="1"/>
      <c r="N21" s="1"/>
      <c r="O21" s="1"/>
      <c r="P21" s="1"/>
      <c r="Q21" s="1"/>
      <c r="R21" s="1"/>
      <c r="S21" s="1"/>
      <c r="T21" s="1"/>
      <c r="U21" s="1"/>
      <c r="V21" s="1"/>
      <c r="W21" s="1"/>
      <c r="X21" s="1"/>
      <c r="Y21" s="1"/>
      <c r="Z21" s="1"/>
    </row>
    <row r="22" spans="1:26">
      <c r="A22" s="1" t="s">
        <v>68</v>
      </c>
      <c r="B22" s="20">
        <f>'Budget 2026'!I5+'Budget 2026'!I10+'Budget 2026'!I15+'Budget 2026'!I20+'Budget 2026'!I25+'Budget 2026'!I30+'Budget 2026'!I35+'Budget 2026'!I40+'Budget 2026'!I45+'Budget 2026'!I50+'Budget 2026'!I55+'Budget 2026'!I60</f>
        <v>13582.084334334801</v>
      </c>
      <c r="C22" s="20">
        <f>'Rolling Forecast'!F5+'Rolling Forecast'!F10+'Rolling Forecast'!F15+'Rolling Forecast'!F20+'Rolling Forecast'!F25+'Rolling Forecast'!F30+'Rolling Forecast'!F35+'Rolling Forecast'!F40+'Rolling Forecast'!F45+'Rolling Forecast'!F50+'Rolling Forecast'!F55+'Rolling Forecast'!F60</f>
        <v>13627.937909218881</v>
      </c>
      <c r="D22" s="20">
        <f>C22-B22</f>
        <v>45.853574884080444</v>
      </c>
      <c r="E22" s="20">
        <f>'Budget 2026'!P5+'Budget 2026'!P10+'Budget 2026'!P15+'Budget 2026'!P20+'Budget 2026'!P25+'Budget 2026'!P30+'Budget 2026'!P35+'Budget 2026'!P40+'Budget 2026'!P45+'Budget 2026'!P50+'Budget 2026'!P55+'Budget 2026'!P60</f>
        <v>2100.1816011057781</v>
      </c>
      <c r="F22" s="20">
        <f>'Rolling Forecast'!N5+'Rolling Forecast'!N10+'Rolling Forecast'!N15+'Rolling Forecast'!N20+'Rolling Forecast'!N25+'Rolling Forecast'!N30+'Rolling Forecast'!N35+'Rolling Forecast'!N40+'Rolling Forecast'!N45+'Rolling Forecast'!N50+'Rolling Forecast'!N55+'Rolling Forecast'!N60</f>
        <v>2752.5664812202881</v>
      </c>
      <c r="G22" s="20">
        <f>F22-E22</f>
        <v>652.38488011451</v>
      </c>
      <c r="H22" s="1"/>
      <c r="I22" s="1"/>
      <c r="J22" s="1"/>
      <c r="K22" s="1"/>
      <c r="L22" s="1"/>
      <c r="M22" s="1"/>
      <c r="N22" s="1"/>
      <c r="O22" s="1"/>
      <c r="P22" s="1"/>
      <c r="Q22" s="1"/>
      <c r="R22" s="1"/>
      <c r="S22" s="1"/>
      <c r="T22" s="1"/>
      <c r="U22" s="1"/>
      <c r="V22" s="1"/>
      <c r="W22" s="1"/>
      <c r="X22" s="1"/>
      <c r="Y22" s="1"/>
      <c r="Z22" s="1"/>
    </row>
    <row r="23" spans="1:26">
      <c r="A23" s="1" t="s">
        <v>69</v>
      </c>
      <c r="B23" s="20">
        <f>'Budget 2026'!I6+'Budget 2026'!I11+'Budget 2026'!I16+'Budget 2026'!I21+'Budget 2026'!I26+'Budget 2026'!I31+'Budget 2026'!I36+'Budget 2026'!I41+'Budget 2026'!I46+'Budget 2026'!I51+'Budget 2026'!I56+'Budget 2026'!I61</f>
        <v>16043.680506510002</v>
      </c>
      <c r="C23" s="20">
        <f>'Rolling Forecast'!F6+'Rolling Forecast'!F11+'Rolling Forecast'!F16+'Rolling Forecast'!F21+'Rolling Forecast'!F26+'Rolling Forecast'!F31+'Rolling Forecast'!F36+'Rolling Forecast'!F41+'Rolling Forecast'!F46+'Rolling Forecast'!F51+'Rolling Forecast'!F56+'Rolling Forecast'!F61</f>
        <v>15755.544037348001</v>
      </c>
      <c r="D23" s="20">
        <f>C23-B23</f>
        <v>-288.13646916200014</v>
      </c>
      <c r="E23" s="20">
        <f>'Budget 2026'!P6+'Budget 2026'!P11+'Budget 2026'!P16+'Budget 2026'!P21+'Budget 2026'!P26+'Budget 2026'!P31+'Budget 2026'!P36+'Budget 2026'!P41+'Budget 2026'!P46+'Budget 2026'!P51+'Budget 2026'!P56+'Budget 2026'!P61</f>
        <v>3357.700621822516</v>
      </c>
      <c r="F23" s="20">
        <f>'Rolling Forecast'!N6+'Rolling Forecast'!N11+'Rolling Forecast'!N16+'Rolling Forecast'!N21+'Rolling Forecast'!N26+'Rolling Forecast'!N31+'Rolling Forecast'!N36+'Rolling Forecast'!N41+'Rolling Forecast'!N46+'Rolling Forecast'!N51+'Rolling Forecast'!N56+'Rolling Forecast'!N61</f>
        <v>3891.0698473894195</v>
      </c>
      <c r="G23" s="20">
        <f>F23-E23</f>
        <v>533.36922556690342</v>
      </c>
      <c r="H23" s="1"/>
      <c r="I23" s="1"/>
      <c r="J23" s="1"/>
      <c r="K23" s="1"/>
      <c r="L23" s="1"/>
      <c r="M23" s="1"/>
      <c r="N23" s="1"/>
      <c r="O23" s="1"/>
      <c r="P23" s="1"/>
      <c r="Q23" s="1"/>
      <c r="R23" s="1"/>
      <c r="S23" s="1"/>
      <c r="T23" s="1"/>
      <c r="U23" s="1"/>
      <c r="V23" s="1"/>
      <c r="W23" s="1"/>
      <c r="X23" s="1"/>
      <c r="Y23" s="1"/>
      <c r="Z23" s="1"/>
    </row>
    <row r="24" spans="1:26">
      <c r="A24" s="1" t="s">
        <v>70</v>
      </c>
      <c r="B24" s="20">
        <f>'Budget 2026'!I7+'Budget 2026'!I12+'Budget 2026'!I17+'Budget 2026'!I22+'Budget 2026'!I27+'Budget 2026'!I32+'Budget 2026'!I37+'Budget 2026'!I42+'Budget 2026'!I47+'Budget 2026'!I52+'Budget 2026'!I57+'Budget 2026'!I62</f>
        <v>11170.965698280001</v>
      </c>
      <c r="C24" s="20">
        <f>'Rolling Forecast'!F7+'Rolling Forecast'!F12+'Rolling Forecast'!F17+'Rolling Forecast'!F22+'Rolling Forecast'!F27+'Rolling Forecast'!F32+'Rolling Forecast'!F37+'Rolling Forecast'!F42+'Rolling Forecast'!F47+'Rolling Forecast'!F52+'Rolling Forecast'!F57+'Rolling Forecast'!F62</f>
        <v>11069.930284317761</v>
      </c>
      <c r="D24" s="20">
        <f>C24-B24</f>
        <v>-101.03541396223955</v>
      </c>
      <c r="E24" s="20">
        <f>'Budget 2026'!P7+'Budget 2026'!P12+'Budget 2026'!P17+'Budget 2026'!P22+'Budget 2026'!P27+'Budget 2026'!P32+'Budget 2026'!P37+'Budget 2026'!P42+'Budget 2026'!P47+'Budget 2026'!P52+'Budget 2026'!P57+'Budget 2026'!P62</f>
        <v>1723.1687649385071</v>
      </c>
      <c r="F24" s="20">
        <f>'Rolling Forecast'!N7+'Rolling Forecast'!N12+'Rolling Forecast'!N17+'Rolling Forecast'!N22+'Rolling Forecast'!N27+'Rolling Forecast'!N32+'Rolling Forecast'!N37+'Rolling Forecast'!N42+'Rolling Forecast'!N47+'Rolling Forecast'!N52+'Rolling Forecast'!N57+'Rolling Forecast'!N62</f>
        <v>2194.4725289501262</v>
      </c>
      <c r="G24" s="20">
        <f>F24-E24</f>
        <v>471.30376401161902</v>
      </c>
      <c r="H24" s="1"/>
      <c r="I24" s="1"/>
      <c r="J24" s="1"/>
      <c r="K24" s="1"/>
      <c r="L24" s="1"/>
      <c r="M24" s="1"/>
      <c r="N24" s="1"/>
      <c r="O24" s="1"/>
      <c r="P24" s="1"/>
      <c r="Q24" s="1"/>
      <c r="R24" s="1"/>
      <c r="S24" s="1"/>
      <c r="T24" s="1"/>
      <c r="U24" s="1"/>
      <c r="V24" s="1"/>
      <c r="W24" s="1"/>
      <c r="X24" s="1"/>
      <c r="Y24" s="1"/>
      <c r="Z24" s="1"/>
    </row>
    <row r="25" spans="1:26">
      <c r="A25" s="1" t="s">
        <v>71</v>
      </c>
      <c r="B25" s="20">
        <f>'Budget 2026'!I8+'Budget 2026'!I13+'Budget 2026'!I18+'Budget 2026'!I23+'Budget 2026'!I28+'Budget 2026'!I33+'Budget 2026'!I38+'Budget 2026'!I43+'Budget 2026'!I48+'Budget 2026'!I53+'Budget 2026'!I58+'Budget 2026'!I63</f>
        <v>13457.638990991247</v>
      </c>
      <c r="C25" s="20">
        <f>'Rolling Forecast'!F8+'Rolling Forecast'!F13+'Rolling Forecast'!F18+'Rolling Forecast'!F23+'Rolling Forecast'!F28+'Rolling Forecast'!F33+'Rolling Forecast'!F38+'Rolling Forecast'!F43+'Rolling Forecast'!F48+'Rolling Forecast'!F53+'Rolling Forecast'!F58+'Rolling Forecast'!F63</f>
        <v>13687.212783228748</v>
      </c>
      <c r="D25" s="20">
        <f>C25-B25</f>
        <v>229.57379223750104</v>
      </c>
      <c r="E25" s="20">
        <f>'Budget 2026'!P8+'Budget 2026'!P13+'Budget 2026'!P18+'Budget 2026'!P23+'Budget 2026'!P28+'Budget 2026'!P33+'Budget 2026'!P38+'Budget 2026'!P43+'Budget 2026'!P48+'Budget 2026'!P53+'Budget 2026'!P58+'Budget 2026'!P63</f>
        <v>2570.8065026210857</v>
      </c>
      <c r="F25" s="20">
        <f>'Rolling Forecast'!N8+'Rolling Forecast'!N13+'Rolling Forecast'!N18+'Rolling Forecast'!N23+'Rolling Forecast'!N28+'Rolling Forecast'!N33+'Rolling Forecast'!N38+'Rolling Forecast'!N43+'Rolling Forecast'!N48+'Rolling Forecast'!N53+'Rolling Forecast'!N58+'Rolling Forecast'!N63</f>
        <v>3055.5247546894229</v>
      </c>
      <c r="G25" s="20">
        <f>F25-E25</f>
        <v>484.71825206833728</v>
      </c>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3">
    <mergeCell ref="A1:M1"/>
    <mergeCell ref="A3:M3"/>
    <mergeCell ref="A19:H19"/>
  </mergeCells>
  <conditionalFormatting sqref="D21:D25">
    <cfRule type="expression" dxfId="37" priority="5">
      <formula>D21&lt;0</formula>
    </cfRule>
  </conditionalFormatting>
  <conditionalFormatting sqref="D5:E16">
    <cfRule type="expression" dxfId="36" priority="1">
      <formula>D5&lt;0</formula>
    </cfRule>
    <cfRule type="expression" dxfId="35" priority="3">
      <formula>D5&gt;0</formula>
    </cfRule>
  </conditionalFormatting>
  <conditionalFormatting sqref="G21:G25">
    <cfRule type="expression" dxfId="34" priority="6">
      <formula>G21&lt;0</formula>
    </cfRule>
  </conditionalFormatting>
  <conditionalFormatting sqref="K5:K16">
    <cfRule type="expression" dxfId="33" priority="2">
      <formula>K5&lt;0</formula>
    </cfRule>
    <cfRule type="expression" dxfId="32" priority="4">
      <formula>K5&gt;0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200"/>
  <sheetViews>
    <sheetView topLeftCell="I1" workbookViewId="0">
      <selection sqref="A1:N1"/>
    </sheetView>
  </sheetViews>
  <sheetFormatPr baseColWidth="10" defaultColWidth="8.83203125" defaultRowHeight="15"/>
  <cols>
    <col min="1" max="1" width="13" customWidth="1"/>
    <col min="2" max="3" width="18" customWidth="1"/>
    <col min="4" max="4" width="4" customWidth="1"/>
    <col min="5" max="6" width="13" customWidth="1"/>
    <col min="7" max="7" width="4" customWidth="1"/>
    <col min="8" max="8" width="21" customWidth="1"/>
    <col min="9" max="10" width="18" customWidth="1"/>
    <col min="11" max="11" width="4" customWidth="1"/>
    <col min="12" max="14" width="13" customWidth="1"/>
  </cols>
  <sheetData>
    <row r="1" spans="1:26" ht="37.25" customHeight="1">
      <c r="A1" s="83" t="s">
        <v>125</v>
      </c>
      <c r="B1" s="83"/>
      <c r="C1" s="83"/>
      <c r="D1" s="83"/>
      <c r="E1" s="83"/>
      <c r="F1" s="83"/>
      <c r="G1" s="83"/>
      <c r="H1" s="83"/>
      <c r="I1" s="83"/>
      <c r="J1" s="83"/>
      <c r="K1" s="83"/>
      <c r="L1" s="83"/>
      <c r="M1" s="83"/>
      <c r="N1" s="83"/>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93" t="str">
        <f>"Scenario: "&amp;Assumptions!B6&amp;" | Rolling forecast: Jan-Sep actual + Oct-Dec forecast"</f>
        <v>Scenario: Base | Rolling forecast: Jan-Sep actual + Oct-Dec forecast</v>
      </c>
      <c r="B3" s="93"/>
      <c r="C3" s="93"/>
      <c r="D3" s="93"/>
      <c r="E3" s="93"/>
      <c r="F3" s="93"/>
      <c r="G3" s="93"/>
      <c r="H3" s="93"/>
      <c r="I3" s="93"/>
      <c r="J3" s="93"/>
      <c r="K3" s="93"/>
      <c r="L3" s="93"/>
      <c r="M3" s="93"/>
      <c r="N3" s="93"/>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94" t="s">
        <v>126</v>
      </c>
      <c r="B5" s="94"/>
      <c r="C5" s="94"/>
      <c r="D5" s="94" t="s">
        <v>127</v>
      </c>
      <c r="E5" s="94"/>
      <c r="F5" s="94"/>
      <c r="G5" s="94" t="s">
        <v>128</v>
      </c>
      <c r="H5" s="94"/>
      <c r="I5" s="94"/>
      <c r="J5" s="94" t="s">
        <v>129</v>
      </c>
      <c r="K5" s="94"/>
      <c r="L5" s="94"/>
      <c r="M5" s="1"/>
      <c r="N5" s="1"/>
      <c r="O5" s="1"/>
      <c r="P5" s="1"/>
      <c r="Q5" s="1"/>
      <c r="R5" s="1"/>
      <c r="S5" s="1"/>
      <c r="T5" s="1"/>
      <c r="U5" s="1"/>
      <c r="V5" s="1"/>
      <c r="W5" s="1"/>
      <c r="X5" s="1"/>
      <c r="Y5" s="1"/>
      <c r="Z5" s="1"/>
    </row>
    <row r="6" spans="1:26">
      <c r="A6" s="96">
        <f>ROUND(SUM('Budget 2026'!I4:I63),0)</f>
        <v>68653</v>
      </c>
      <c r="B6" s="97"/>
      <c r="C6" s="97"/>
      <c r="D6" s="96">
        <f>ROUND(SUM('Rolling Forecast'!F4:F63),0)</f>
        <v>68354</v>
      </c>
      <c r="E6" s="97"/>
      <c r="F6" s="97"/>
      <c r="G6" s="96">
        <f>ROUND(D6-A6,0)</f>
        <v>-299</v>
      </c>
      <c r="H6" s="97"/>
      <c r="I6" s="97"/>
      <c r="J6" s="98">
        <f>SUM('Rolling Forecast'!I4:I63)/SUM('Rolling Forecast'!F4:F63)</f>
        <v>0.46097542843717548</v>
      </c>
      <c r="K6" s="99"/>
      <c r="L6" s="99"/>
      <c r="M6" s="1"/>
      <c r="N6" s="1"/>
      <c r="O6" s="1"/>
      <c r="P6" s="1"/>
      <c r="Q6" s="1"/>
      <c r="R6" s="1"/>
      <c r="S6" s="1"/>
      <c r="T6" s="1"/>
      <c r="U6" s="1"/>
      <c r="V6" s="1"/>
      <c r="W6" s="1"/>
      <c r="X6" s="1"/>
      <c r="Y6" s="1"/>
      <c r="Z6" s="1"/>
    </row>
    <row r="7" spans="1:26">
      <c r="A7" s="97"/>
      <c r="B7" s="97"/>
      <c r="C7" s="97"/>
      <c r="D7" s="97"/>
      <c r="E7" s="97"/>
      <c r="F7" s="97"/>
      <c r="G7" s="97"/>
      <c r="H7" s="97"/>
      <c r="I7" s="97"/>
      <c r="J7" s="99"/>
      <c r="K7" s="99"/>
      <c r="L7" s="99"/>
      <c r="M7" s="1"/>
      <c r="N7" s="1"/>
      <c r="O7" s="1"/>
      <c r="P7" s="1"/>
      <c r="Q7" s="1"/>
      <c r="R7" s="1"/>
      <c r="S7" s="1"/>
      <c r="T7" s="1"/>
      <c r="U7" s="1"/>
      <c r="V7" s="1"/>
      <c r="W7" s="1"/>
      <c r="X7" s="1"/>
      <c r="Y7" s="1"/>
      <c r="Z7" s="1"/>
    </row>
    <row r="8" spans="1:26">
      <c r="A8" s="31"/>
      <c r="B8" s="31"/>
      <c r="C8" s="31"/>
      <c r="D8" s="31"/>
      <c r="E8" s="31"/>
      <c r="F8" s="31"/>
      <c r="G8" s="31"/>
      <c r="H8" s="31"/>
      <c r="I8" s="31"/>
      <c r="J8" s="1"/>
      <c r="K8" s="1"/>
      <c r="L8" s="1"/>
      <c r="M8" s="1"/>
      <c r="N8" s="1"/>
      <c r="O8" s="1"/>
      <c r="P8" s="1"/>
      <c r="Q8" s="1"/>
      <c r="R8" s="1"/>
      <c r="S8" s="1"/>
      <c r="T8" s="1"/>
      <c r="U8" s="1"/>
      <c r="V8" s="1"/>
      <c r="W8" s="1"/>
      <c r="X8" s="1"/>
      <c r="Y8" s="1"/>
      <c r="Z8" s="1"/>
    </row>
    <row r="9" spans="1:26">
      <c r="A9" s="95" t="s">
        <v>130</v>
      </c>
      <c r="B9" s="95"/>
      <c r="C9" s="95"/>
      <c r="D9" s="95" t="s">
        <v>131</v>
      </c>
      <c r="E9" s="95"/>
      <c r="F9" s="95"/>
      <c r="G9" s="95" t="s">
        <v>132</v>
      </c>
      <c r="H9" s="95"/>
      <c r="I9" s="95"/>
      <c r="J9" s="94" t="s">
        <v>123</v>
      </c>
      <c r="K9" s="94"/>
      <c r="L9" s="94"/>
      <c r="M9" s="1"/>
      <c r="N9" s="1"/>
      <c r="O9" s="1"/>
      <c r="P9" s="1"/>
      <c r="Q9" s="1"/>
      <c r="R9" s="1"/>
      <c r="S9" s="1"/>
      <c r="T9" s="1"/>
      <c r="U9" s="1"/>
      <c r="V9" s="1"/>
      <c r="W9" s="1"/>
      <c r="X9" s="1"/>
      <c r="Y9" s="1"/>
      <c r="Z9" s="1"/>
    </row>
    <row r="10" spans="1:26">
      <c r="A10" s="96">
        <f>ROUND(SUM('Budget 2026'!P4:P63),0)</f>
        <v>11998</v>
      </c>
      <c r="B10" s="97"/>
      <c r="C10" s="97"/>
      <c r="D10" s="96">
        <f>ROUND(SUM('Rolling Forecast'!N4:N63),0)</f>
        <v>14816</v>
      </c>
      <c r="E10" s="97"/>
      <c r="F10" s="97"/>
      <c r="G10" s="96">
        <f>ROUND(D10-A10,0)</f>
        <v>2818</v>
      </c>
      <c r="H10" s="97"/>
      <c r="I10" s="97"/>
      <c r="J10" s="98">
        <f>SUM('Rolling Forecast'!N4:N63)/SUM('Rolling Forecast'!F4:F63)</f>
        <v>0.21675932525495875</v>
      </c>
      <c r="K10" s="99"/>
      <c r="L10" s="99"/>
      <c r="M10" s="1"/>
      <c r="N10" s="1"/>
      <c r="O10" s="1"/>
      <c r="P10" s="1"/>
      <c r="Q10" s="1"/>
      <c r="R10" s="1"/>
      <c r="S10" s="1"/>
      <c r="T10" s="1"/>
      <c r="U10" s="1"/>
      <c r="V10" s="1"/>
      <c r="W10" s="1"/>
      <c r="X10" s="1"/>
      <c r="Y10" s="1"/>
      <c r="Z10" s="1"/>
    </row>
    <row r="11" spans="1:26">
      <c r="A11" s="97"/>
      <c r="B11" s="97"/>
      <c r="C11" s="97"/>
      <c r="D11" s="97"/>
      <c r="E11" s="97"/>
      <c r="F11" s="97"/>
      <c r="G11" s="97"/>
      <c r="H11" s="97"/>
      <c r="I11" s="97"/>
      <c r="J11" s="99"/>
      <c r="K11" s="99"/>
      <c r="L11" s="99"/>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6.75" customHeight="1">
      <c r="A14" s="85" t="s">
        <v>133</v>
      </c>
      <c r="B14" s="85"/>
      <c r="C14" s="85"/>
      <c r="D14" s="85"/>
      <c r="E14" s="85"/>
      <c r="F14" s="85"/>
      <c r="G14" s="2"/>
      <c r="H14" s="85"/>
      <c r="I14" s="85"/>
      <c r="J14" s="85"/>
      <c r="K14" s="85"/>
      <c r="L14" s="85"/>
      <c r="M14" s="85"/>
      <c r="N14" s="85"/>
      <c r="O14" s="1"/>
      <c r="P14" s="1"/>
      <c r="Q14" s="1"/>
      <c r="R14" s="1"/>
      <c r="S14" s="1"/>
      <c r="T14" s="1"/>
      <c r="U14" s="1"/>
      <c r="V14" s="1"/>
      <c r="W14" s="1"/>
      <c r="X14" s="1"/>
      <c r="Y14" s="1"/>
      <c r="Z14" s="1"/>
    </row>
    <row r="15" spans="1:26" ht="16">
      <c r="A15" s="7" t="s">
        <v>111</v>
      </c>
      <c r="B15" s="7" t="s">
        <v>112</v>
      </c>
      <c r="C15" s="7" t="s">
        <v>113</v>
      </c>
      <c r="D15" s="1"/>
      <c r="E15" s="1"/>
      <c r="F15" s="1"/>
      <c r="G15" s="1"/>
      <c r="H15" s="7"/>
      <c r="I15" s="7"/>
      <c r="J15" s="7"/>
      <c r="K15" s="1"/>
      <c r="L15" s="1"/>
      <c r="M15" s="1"/>
      <c r="N15" s="1"/>
      <c r="O15" s="1"/>
      <c r="P15" s="1"/>
      <c r="Q15" s="1"/>
      <c r="R15" s="1"/>
      <c r="S15" s="1"/>
      <c r="T15" s="1"/>
      <c r="U15" s="1"/>
      <c r="V15" s="1"/>
      <c r="W15" s="1"/>
      <c r="X15" s="1"/>
      <c r="Y15" s="1"/>
      <c r="Z15" s="1"/>
    </row>
    <row r="16" spans="1:26">
      <c r="A16" s="32" t="s">
        <v>134</v>
      </c>
      <c r="B16" s="33">
        <f>ROUND('Variance Analysis'!B5,0)</f>
        <v>5159</v>
      </c>
      <c r="C16" s="33">
        <f>ROUND('Variance Analysis'!C5,0)</f>
        <v>5111</v>
      </c>
      <c r="D16" s="1"/>
      <c r="E16" s="1"/>
      <c r="F16" s="1"/>
      <c r="G16" s="1"/>
      <c r="H16" s="1"/>
      <c r="I16" s="20"/>
      <c r="J16" s="20"/>
      <c r="K16" s="1"/>
      <c r="L16" s="1"/>
      <c r="M16" s="1"/>
      <c r="N16" s="1"/>
      <c r="O16" s="1"/>
      <c r="P16" s="1"/>
      <c r="Q16" s="1"/>
      <c r="R16" s="1"/>
      <c r="S16" s="1"/>
      <c r="T16" s="1"/>
      <c r="U16" s="1"/>
      <c r="V16" s="1"/>
      <c r="W16" s="1"/>
      <c r="X16" s="1"/>
      <c r="Y16" s="1"/>
      <c r="Z16" s="1"/>
    </row>
    <row r="17" spans="1:26">
      <c r="A17" s="32" t="s">
        <v>135</v>
      </c>
      <c r="B17" s="33">
        <f>ROUND('Variance Analysis'!B6,0)</f>
        <v>5274</v>
      </c>
      <c r="C17" s="33">
        <f>ROUND('Variance Analysis'!C6,0)</f>
        <v>5220</v>
      </c>
      <c r="D17" s="1"/>
      <c r="E17" s="1"/>
      <c r="F17" s="1"/>
      <c r="G17" s="1"/>
      <c r="H17" s="1"/>
      <c r="I17" s="20"/>
      <c r="J17" s="20"/>
      <c r="K17" s="1"/>
      <c r="L17" s="1"/>
      <c r="M17" s="1"/>
      <c r="N17" s="1"/>
      <c r="O17" s="1"/>
      <c r="P17" s="1"/>
      <c r="Q17" s="1"/>
      <c r="R17" s="1"/>
      <c r="S17" s="1"/>
      <c r="T17" s="1"/>
      <c r="U17" s="1"/>
      <c r="V17" s="1"/>
      <c r="W17" s="1"/>
      <c r="X17" s="1"/>
      <c r="Y17" s="1"/>
      <c r="Z17" s="1"/>
    </row>
    <row r="18" spans="1:26">
      <c r="A18" s="32" t="s">
        <v>136</v>
      </c>
      <c r="B18" s="33">
        <f>ROUND('Variance Analysis'!B7,0)</f>
        <v>5497</v>
      </c>
      <c r="C18" s="33">
        <f>ROUND('Variance Analysis'!C7,0)</f>
        <v>5544</v>
      </c>
      <c r="D18" s="1"/>
      <c r="E18" s="1"/>
      <c r="F18" s="1"/>
      <c r="G18" s="1"/>
      <c r="H18" s="1"/>
      <c r="I18" s="20"/>
      <c r="J18" s="20"/>
      <c r="K18" s="1"/>
      <c r="L18" s="1"/>
      <c r="M18" s="1"/>
      <c r="N18" s="1"/>
      <c r="O18" s="1"/>
      <c r="P18" s="1"/>
      <c r="Q18" s="1"/>
      <c r="R18" s="1"/>
      <c r="S18" s="1"/>
      <c r="T18" s="1"/>
      <c r="U18" s="1"/>
      <c r="V18" s="1"/>
      <c r="W18" s="1"/>
      <c r="X18" s="1"/>
      <c r="Y18" s="1"/>
      <c r="Z18" s="1"/>
    </row>
    <row r="19" spans="1:26">
      <c r="A19" s="32" t="s">
        <v>137</v>
      </c>
      <c r="B19" s="33">
        <f>ROUND('Variance Analysis'!B8,0)</f>
        <v>5581</v>
      </c>
      <c r="C19" s="33">
        <f>ROUND('Variance Analysis'!C8,0)</f>
        <v>5555</v>
      </c>
      <c r="D19" s="1"/>
      <c r="E19" s="1"/>
      <c r="F19" s="1"/>
      <c r="G19" s="1"/>
      <c r="H19" s="1"/>
      <c r="I19" s="20"/>
      <c r="J19" s="20"/>
      <c r="K19" s="1"/>
      <c r="L19" s="1"/>
      <c r="M19" s="1"/>
      <c r="N19" s="1"/>
      <c r="O19" s="1"/>
      <c r="P19" s="1"/>
      <c r="Q19" s="1"/>
      <c r="R19" s="1"/>
      <c r="S19" s="1"/>
      <c r="T19" s="1"/>
      <c r="U19" s="1"/>
      <c r="V19" s="1"/>
      <c r="W19" s="1"/>
      <c r="X19" s="1"/>
      <c r="Y19" s="1"/>
      <c r="Z19" s="1"/>
    </row>
    <row r="20" spans="1:26">
      <c r="A20" s="32" t="s">
        <v>138</v>
      </c>
      <c r="B20" s="33">
        <f>ROUND('Variance Analysis'!B9,0)</f>
        <v>5628</v>
      </c>
      <c r="C20" s="33">
        <f>ROUND('Variance Analysis'!C9,0)</f>
        <v>5552</v>
      </c>
      <c r="D20" s="1"/>
      <c r="E20" s="1"/>
      <c r="F20" s="1"/>
      <c r="G20" s="1"/>
      <c r="H20" s="1"/>
      <c r="I20" s="20"/>
      <c r="J20" s="20"/>
      <c r="K20" s="1"/>
      <c r="L20" s="1"/>
      <c r="M20" s="1"/>
      <c r="N20" s="1"/>
      <c r="O20" s="1"/>
      <c r="P20" s="1"/>
      <c r="Q20" s="1"/>
      <c r="R20" s="1"/>
      <c r="S20" s="1"/>
      <c r="T20" s="1"/>
      <c r="U20" s="1"/>
      <c r="V20" s="1"/>
      <c r="W20" s="1"/>
      <c r="X20" s="1"/>
      <c r="Y20" s="1"/>
      <c r="Z20" s="1"/>
    </row>
    <row r="21" spans="1:26">
      <c r="A21" s="32" t="s">
        <v>139</v>
      </c>
      <c r="B21" s="33">
        <f>ROUND('Variance Analysis'!B10,0)</f>
        <v>5766</v>
      </c>
      <c r="C21" s="33">
        <f>ROUND('Variance Analysis'!C10,0)</f>
        <v>5700</v>
      </c>
      <c r="D21" s="1"/>
      <c r="E21" s="1"/>
      <c r="F21" s="1"/>
      <c r="G21" s="1"/>
      <c r="H21" s="1"/>
      <c r="I21" s="1"/>
      <c r="J21" s="1"/>
      <c r="K21" s="1"/>
      <c r="L21" s="1"/>
      <c r="M21" s="1"/>
      <c r="N21" s="1"/>
      <c r="O21" s="1"/>
      <c r="P21" s="1"/>
      <c r="Q21" s="1"/>
      <c r="R21" s="1"/>
      <c r="S21" s="1"/>
      <c r="T21" s="1"/>
      <c r="U21" s="1"/>
      <c r="V21" s="1"/>
      <c r="W21" s="1"/>
      <c r="X21" s="1"/>
      <c r="Y21" s="1"/>
      <c r="Z21" s="1"/>
    </row>
    <row r="22" spans="1:26">
      <c r="A22" s="32" t="s">
        <v>140</v>
      </c>
      <c r="B22" s="33">
        <f>ROUND('Variance Analysis'!B11,0)</f>
        <v>5963</v>
      </c>
      <c r="C22" s="33">
        <f>ROUND('Variance Analysis'!C11,0)</f>
        <v>5899</v>
      </c>
      <c r="D22" s="1"/>
      <c r="E22" s="1"/>
      <c r="F22" s="1"/>
      <c r="G22" s="1"/>
      <c r="H22" s="1"/>
      <c r="I22" s="1"/>
      <c r="J22" s="1"/>
      <c r="K22" s="1"/>
      <c r="L22" s="1"/>
      <c r="M22" s="1"/>
      <c r="N22" s="1"/>
      <c r="O22" s="1"/>
      <c r="P22" s="1"/>
      <c r="Q22" s="1"/>
      <c r="R22" s="1"/>
      <c r="S22" s="1"/>
      <c r="T22" s="1"/>
      <c r="U22" s="1"/>
      <c r="V22" s="1"/>
      <c r="W22" s="1"/>
      <c r="X22" s="1"/>
      <c r="Y22" s="1"/>
      <c r="Z22" s="1"/>
    </row>
    <row r="23" spans="1:26">
      <c r="A23" s="32" t="s">
        <v>141</v>
      </c>
      <c r="B23" s="33">
        <f>ROUND('Variance Analysis'!B12,0)</f>
        <v>5671</v>
      </c>
      <c r="C23" s="33">
        <f>ROUND('Variance Analysis'!C12,0)</f>
        <v>5671</v>
      </c>
      <c r="D23" s="1"/>
      <c r="E23" s="1"/>
      <c r="F23" s="1"/>
      <c r="G23" s="1"/>
      <c r="H23" s="1"/>
      <c r="I23" s="1"/>
      <c r="J23" s="1"/>
      <c r="K23" s="1"/>
      <c r="L23" s="1"/>
      <c r="M23" s="1"/>
      <c r="N23" s="1"/>
      <c r="O23" s="1"/>
      <c r="P23" s="1"/>
      <c r="Q23" s="1"/>
      <c r="R23" s="1"/>
      <c r="S23" s="1"/>
      <c r="T23" s="1"/>
      <c r="U23" s="1"/>
      <c r="V23" s="1"/>
      <c r="W23" s="1"/>
      <c r="X23" s="1"/>
      <c r="Y23" s="1"/>
      <c r="Z23" s="1"/>
    </row>
    <row r="24" spans="1:26">
      <c r="A24" s="32" t="s">
        <v>142</v>
      </c>
      <c r="B24" s="33">
        <f>ROUND('Variance Analysis'!B13,0)</f>
        <v>5539</v>
      </c>
      <c r="C24" s="33">
        <f>ROUND('Variance Analysis'!C13,0)</f>
        <v>5529</v>
      </c>
      <c r="D24" s="1"/>
      <c r="E24" s="1"/>
      <c r="F24" s="1"/>
      <c r="G24" s="1"/>
      <c r="H24" s="1"/>
      <c r="I24" s="1"/>
      <c r="J24" s="1"/>
      <c r="K24" s="1"/>
      <c r="L24" s="1"/>
      <c r="M24" s="1"/>
      <c r="N24" s="1"/>
      <c r="O24" s="1"/>
      <c r="P24" s="1"/>
      <c r="Q24" s="1"/>
      <c r="R24" s="1"/>
      <c r="S24" s="1"/>
      <c r="T24" s="1"/>
      <c r="U24" s="1"/>
      <c r="V24" s="1"/>
      <c r="W24" s="1"/>
      <c r="X24" s="1"/>
      <c r="Y24" s="1"/>
      <c r="Z24" s="1"/>
    </row>
    <row r="25" spans="1:26">
      <c r="A25" s="32" t="s">
        <v>143</v>
      </c>
      <c r="B25" s="33">
        <f>ROUND('Variance Analysis'!B14,0)</f>
        <v>5799</v>
      </c>
      <c r="C25" s="33">
        <f>ROUND('Variance Analysis'!C14,0)</f>
        <v>5799</v>
      </c>
      <c r="D25" s="1"/>
      <c r="E25" s="1"/>
      <c r="F25" s="1"/>
      <c r="G25" s="1"/>
      <c r="H25" s="1"/>
      <c r="I25" s="1"/>
      <c r="J25" s="1"/>
      <c r="K25" s="1"/>
      <c r="L25" s="1"/>
      <c r="M25" s="1"/>
      <c r="N25" s="1"/>
      <c r="O25" s="1"/>
      <c r="P25" s="1"/>
      <c r="Q25" s="1"/>
      <c r="R25" s="1"/>
      <c r="S25" s="1"/>
      <c r="T25" s="1"/>
      <c r="U25" s="1"/>
      <c r="V25" s="1"/>
      <c r="W25" s="1"/>
      <c r="X25" s="1"/>
      <c r="Y25" s="1"/>
      <c r="Z25" s="1"/>
    </row>
    <row r="26" spans="1:26">
      <c r="A26" s="32" t="s">
        <v>144</v>
      </c>
      <c r="B26" s="33">
        <f>ROUND('Variance Analysis'!B15,0)</f>
        <v>6203</v>
      </c>
      <c r="C26" s="33">
        <f>ROUND('Variance Analysis'!C15,0)</f>
        <v>6203</v>
      </c>
      <c r="D26" s="1"/>
      <c r="E26" s="1"/>
      <c r="F26" s="1"/>
      <c r="G26" s="1"/>
      <c r="H26" s="1"/>
      <c r="I26" s="1"/>
      <c r="J26" s="1"/>
      <c r="K26" s="1"/>
      <c r="L26" s="1"/>
      <c r="M26" s="1"/>
      <c r="N26" s="1"/>
      <c r="O26" s="1"/>
      <c r="P26" s="1"/>
      <c r="Q26" s="1"/>
      <c r="R26" s="1"/>
      <c r="S26" s="1"/>
      <c r="T26" s="1"/>
      <c r="U26" s="1"/>
      <c r="V26" s="1"/>
      <c r="W26" s="1"/>
      <c r="X26" s="1"/>
      <c r="Y26" s="1"/>
      <c r="Z26" s="1"/>
    </row>
    <row r="27" spans="1:26">
      <c r="A27" s="32" t="s">
        <v>145</v>
      </c>
      <c r="B27" s="33">
        <f>ROUND('Variance Analysis'!B16,0)</f>
        <v>6573</v>
      </c>
      <c r="C27" s="33">
        <f>ROUND('Variance Analysis'!C16,0)</f>
        <v>6573</v>
      </c>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6.75" customHeight="1">
      <c r="A30" s="85" t="s">
        <v>146</v>
      </c>
      <c r="B30" s="85"/>
      <c r="C30" s="85"/>
      <c r="D30" s="85"/>
      <c r="E30" s="85"/>
      <c r="F30" s="85"/>
      <c r="G30" s="2"/>
      <c r="H30" s="85"/>
      <c r="I30" s="85"/>
      <c r="J30" s="85"/>
      <c r="K30" s="85"/>
      <c r="L30" s="85"/>
      <c r="M30" s="85"/>
      <c r="N30" s="85"/>
      <c r="O30" s="1"/>
      <c r="P30" s="1"/>
      <c r="Q30" s="1"/>
      <c r="R30" s="1"/>
      <c r="S30" s="1"/>
      <c r="T30" s="1"/>
      <c r="U30" s="1"/>
      <c r="V30" s="1"/>
      <c r="W30" s="1"/>
      <c r="X30" s="1"/>
      <c r="Y30" s="1"/>
      <c r="Z30" s="1"/>
    </row>
    <row r="31" spans="1:26" ht="16">
      <c r="A31" s="7" t="s">
        <v>60</v>
      </c>
      <c r="B31" s="7" t="s">
        <v>112</v>
      </c>
      <c r="C31" s="7" t="s">
        <v>113</v>
      </c>
      <c r="D31" s="1"/>
      <c r="E31" s="1"/>
      <c r="F31" s="1"/>
      <c r="G31" s="1"/>
      <c r="H31" s="5"/>
      <c r="I31" s="4"/>
      <c r="J31" s="1"/>
      <c r="K31" s="1"/>
      <c r="L31" s="1"/>
      <c r="M31" s="1"/>
      <c r="N31" s="1"/>
      <c r="O31" s="1"/>
      <c r="P31" s="1"/>
      <c r="Q31" s="1"/>
      <c r="R31" s="1"/>
      <c r="S31" s="1"/>
      <c r="T31" s="1"/>
      <c r="U31" s="1"/>
      <c r="V31" s="1"/>
      <c r="W31" s="1"/>
      <c r="X31" s="1"/>
      <c r="Y31" s="1"/>
      <c r="Z31" s="1"/>
    </row>
    <row r="32" spans="1:26">
      <c r="A32" s="32" t="s">
        <v>67</v>
      </c>
      <c r="B32" s="33">
        <f>ROUND('Variance Analysis'!B21,0)</f>
        <v>14399</v>
      </c>
      <c r="C32" s="33">
        <f>ROUND('Variance Analysis'!C21,0)</f>
        <v>14213</v>
      </c>
      <c r="D32" s="1"/>
      <c r="E32" s="1"/>
      <c r="F32" s="1"/>
      <c r="G32" s="1"/>
      <c r="H32" s="5"/>
      <c r="I32" s="4"/>
      <c r="J32" s="1"/>
      <c r="K32" s="1"/>
      <c r="L32" s="1"/>
      <c r="M32" s="1"/>
      <c r="N32" s="1"/>
      <c r="O32" s="1"/>
      <c r="P32" s="1"/>
      <c r="Q32" s="1"/>
      <c r="R32" s="1"/>
      <c r="S32" s="1"/>
      <c r="T32" s="1"/>
      <c r="U32" s="1"/>
      <c r="V32" s="1"/>
      <c r="W32" s="1"/>
      <c r="X32" s="1"/>
      <c r="Y32" s="1"/>
      <c r="Z32" s="1"/>
    </row>
    <row r="33" spans="1:26">
      <c r="A33" s="32" t="s">
        <v>68</v>
      </c>
      <c r="B33" s="33">
        <f>ROUND('Variance Analysis'!B22,0)</f>
        <v>13582</v>
      </c>
      <c r="C33" s="33">
        <f>ROUND('Variance Analysis'!C22,0)</f>
        <v>13628</v>
      </c>
      <c r="D33" s="1"/>
      <c r="E33" s="1"/>
      <c r="F33" s="1"/>
      <c r="G33" s="1"/>
      <c r="H33" s="5"/>
      <c r="I33" s="4"/>
      <c r="J33" s="1"/>
      <c r="K33" s="1"/>
      <c r="L33" s="1"/>
      <c r="M33" s="1"/>
      <c r="N33" s="1"/>
      <c r="O33" s="1"/>
      <c r="P33" s="1"/>
      <c r="Q33" s="1"/>
      <c r="R33" s="1"/>
      <c r="S33" s="1"/>
      <c r="T33" s="1"/>
      <c r="U33" s="1"/>
      <c r="V33" s="1"/>
      <c r="W33" s="1"/>
      <c r="X33" s="1"/>
      <c r="Y33" s="1"/>
      <c r="Z33" s="1"/>
    </row>
    <row r="34" spans="1:26">
      <c r="A34" s="32" t="s">
        <v>69</v>
      </c>
      <c r="B34" s="33">
        <f>ROUND('Variance Analysis'!B23,0)</f>
        <v>16044</v>
      </c>
      <c r="C34" s="33">
        <f>ROUND('Variance Analysis'!C23,0)</f>
        <v>15756</v>
      </c>
      <c r="D34" s="1"/>
      <c r="E34" s="1"/>
      <c r="F34" s="1"/>
      <c r="G34" s="1"/>
      <c r="H34" s="5"/>
      <c r="I34" s="4"/>
      <c r="J34" s="1"/>
      <c r="K34" s="1"/>
      <c r="L34" s="1"/>
      <c r="M34" s="1"/>
      <c r="N34" s="1"/>
      <c r="O34" s="1"/>
      <c r="P34" s="1"/>
      <c r="Q34" s="1"/>
      <c r="R34" s="1"/>
      <c r="S34" s="1"/>
      <c r="T34" s="1"/>
      <c r="U34" s="1"/>
      <c r="V34" s="1"/>
      <c r="W34" s="1"/>
      <c r="X34" s="1"/>
      <c r="Y34" s="1"/>
      <c r="Z34" s="1"/>
    </row>
    <row r="35" spans="1:26">
      <c r="A35" s="32" t="s">
        <v>70</v>
      </c>
      <c r="B35" s="33">
        <f>ROUND('Variance Analysis'!B24,0)</f>
        <v>11171</v>
      </c>
      <c r="C35" s="33">
        <f>ROUND('Variance Analysis'!C24,0)</f>
        <v>11070</v>
      </c>
      <c r="D35" s="1"/>
      <c r="E35" s="1"/>
      <c r="F35" s="1"/>
      <c r="G35" s="1"/>
      <c r="H35" s="5"/>
      <c r="I35" s="4"/>
      <c r="J35" s="1"/>
      <c r="K35" s="1"/>
      <c r="L35" s="1"/>
      <c r="M35" s="1"/>
      <c r="N35" s="1"/>
      <c r="O35" s="1"/>
      <c r="P35" s="1"/>
      <c r="Q35" s="1"/>
      <c r="R35" s="1"/>
      <c r="S35" s="1"/>
      <c r="T35" s="1"/>
      <c r="U35" s="1"/>
      <c r="V35" s="1"/>
      <c r="W35" s="1"/>
      <c r="X35" s="1"/>
      <c r="Y35" s="1"/>
      <c r="Z35" s="1"/>
    </row>
    <row r="36" spans="1:26">
      <c r="A36" s="32" t="s">
        <v>71</v>
      </c>
      <c r="B36" s="33">
        <f>ROUND('Variance Analysis'!B25,0)</f>
        <v>13458</v>
      </c>
      <c r="C36" s="33">
        <f>ROUND('Variance Analysis'!C25,0)</f>
        <v>13687</v>
      </c>
      <c r="D36" s="1"/>
      <c r="E36" s="1"/>
      <c r="F36" s="1"/>
      <c r="G36" s="1"/>
      <c r="H36" s="1"/>
      <c r="I36" s="1"/>
      <c r="J36" s="1"/>
      <c r="K36" s="1"/>
      <c r="L36" s="1"/>
      <c r="M36" s="1"/>
      <c r="N36" s="1"/>
      <c r="O36" s="1"/>
      <c r="P36" s="1"/>
      <c r="Q36" s="1"/>
      <c r="R36" s="1"/>
      <c r="S36" s="1"/>
      <c r="T36" s="1"/>
      <c r="U36" s="1"/>
      <c r="V36" s="1"/>
      <c r="W36" s="1"/>
      <c r="X36" s="1"/>
      <c r="Y36" s="1"/>
      <c r="Z36" s="1"/>
    </row>
    <row r="37" spans="1:26">
      <c r="A37" s="32"/>
      <c r="B37" s="20"/>
      <c r="C37" s="20"/>
      <c r="D37" s="1"/>
      <c r="E37" s="1"/>
      <c r="F37" s="1"/>
      <c r="G37" s="1"/>
      <c r="H37" s="1"/>
      <c r="I37" s="1"/>
      <c r="J37" s="1"/>
      <c r="K37" s="1"/>
      <c r="L37" s="1"/>
      <c r="M37" s="1"/>
      <c r="N37" s="1"/>
      <c r="O37" s="1"/>
      <c r="P37" s="1"/>
      <c r="Q37" s="1"/>
      <c r="R37" s="1"/>
      <c r="S37" s="1"/>
      <c r="T37" s="1"/>
      <c r="U37" s="1"/>
      <c r="V37" s="1"/>
      <c r="W37" s="1"/>
      <c r="X37" s="1"/>
      <c r="Y37" s="1"/>
      <c r="Z37" s="1"/>
    </row>
    <row r="38" spans="1:26">
      <c r="A38" s="32"/>
      <c r="B38" s="20"/>
      <c r="C38" s="20"/>
      <c r="D38" s="1"/>
      <c r="E38" s="1"/>
      <c r="F38" s="1"/>
      <c r="G38" s="1"/>
      <c r="H38" s="1"/>
      <c r="I38" s="1"/>
      <c r="J38" s="1"/>
      <c r="K38" s="1"/>
      <c r="L38" s="1"/>
      <c r="M38" s="1"/>
      <c r="N38" s="1"/>
      <c r="O38" s="1"/>
      <c r="P38" s="1"/>
      <c r="Q38" s="1"/>
      <c r="R38" s="1"/>
      <c r="S38" s="1"/>
      <c r="T38" s="1"/>
      <c r="U38" s="1"/>
      <c r="V38" s="1"/>
      <c r="W38" s="1"/>
      <c r="X38" s="1"/>
      <c r="Y38" s="1"/>
      <c r="Z38" s="1"/>
    </row>
    <row r="39" spans="1:26" ht="26.75" customHeight="1">
      <c r="A39" s="100" t="s">
        <v>147</v>
      </c>
      <c r="B39" s="101"/>
      <c r="C39" s="101"/>
      <c r="D39" s="85"/>
      <c r="E39" s="85"/>
      <c r="F39" s="85"/>
      <c r="G39" s="85"/>
      <c r="H39" s="85"/>
      <c r="I39" s="85"/>
      <c r="J39" s="85"/>
      <c r="K39" s="85"/>
      <c r="L39" s="85"/>
      <c r="M39" s="85"/>
      <c r="N39" s="85"/>
      <c r="O39" s="1"/>
      <c r="P39" s="1"/>
      <c r="Q39" s="1"/>
      <c r="R39" s="1"/>
      <c r="S39" s="1"/>
      <c r="T39" s="1"/>
      <c r="U39" s="1"/>
      <c r="V39" s="1"/>
      <c r="W39" s="1"/>
      <c r="X39" s="1"/>
      <c r="Y39" s="1"/>
      <c r="Z39" s="1"/>
    </row>
    <row r="40" spans="1:26" ht="16">
      <c r="A40" s="34" t="s">
        <v>111</v>
      </c>
      <c r="B40" s="35" t="s">
        <v>119</v>
      </c>
      <c r="C40" s="35" t="s">
        <v>120</v>
      </c>
      <c r="D40" s="1"/>
      <c r="E40" s="1"/>
      <c r="F40" s="1"/>
      <c r="G40" s="1"/>
      <c r="H40" s="1"/>
      <c r="I40" s="1"/>
      <c r="J40" s="1"/>
      <c r="K40" s="1"/>
      <c r="L40" s="1"/>
      <c r="M40" s="1"/>
      <c r="N40" s="1"/>
      <c r="O40" s="1"/>
      <c r="P40" s="1"/>
      <c r="Q40" s="1"/>
      <c r="R40" s="1"/>
      <c r="S40" s="1"/>
      <c r="T40" s="1"/>
      <c r="U40" s="1"/>
      <c r="V40" s="1"/>
      <c r="W40" s="1"/>
      <c r="X40" s="1"/>
      <c r="Y40" s="1"/>
      <c r="Z40" s="1"/>
    </row>
    <row r="41" spans="1:26">
      <c r="A41" s="32" t="s">
        <v>134</v>
      </c>
      <c r="B41" s="33">
        <f>ROUND('Variance Analysis'!I5,0)</f>
        <v>824</v>
      </c>
      <c r="C41" s="33">
        <f>ROUND('Variance Analysis'!J5,0)</f>
        <v>1079</v>
      </c>
      <c r="D41" s="1"/>
      <c r="E41" s="1"/>
      <c r="F41" s="1"/>
      <c r="G41" s="1"/>
      <c r="H41" s="1"/>
      <c r="I41" s="1"/>
      <c r="J41" s="1"/>
      <c r="K41" s="1"/>
      <c r="L41" s="1"/>
      <c r="M41" s="1"/>
      <c r="N41" s="1"/>
      <c r="O41" s="1"/>
      <c r="P41" s="1"/>
      <c r="Q41" s="1"/>
      <c r="R41" s="1"/>
      <c r="S41" s="1"/>
      <c r="T41" s="1"/>
      <c r="U41" s="1"/>
      <c r="V41" s="1"/>
      <c r="W41" s="1"/>
      <c r="X41" s="1"/>
      <c r="Y41" s="1"/>
      <c r="Z41" s="1"/>
    </row>
    <row r="42" spans="1:26">
      <c r="A42" s="32" t="s">
        <v>135</v>
      </c>
      <c r="B42" s="33">
        <f>ROUND('Variance Analysis'!I6,0)</f>
        <v>861</v>
      </c>
      <c r="C42" s="33">
        <f>ROUND('Variance Analysis'!J6,0)</f>
        <v>1125</v>
      </c>
      <c r="D42" s="1"/>
      <c r="E42" s="1"/>
      <c r="F42" s="1"/>
      <c r="G42" s="1"/>
      <c r="H42" s="1"/>
      <c r="I42" s="1"/>
      <c r="J42" s="1"/>
      <c r="K42" s="1"/>
      <c r="L42" s="1"/>
      <c r="M42" s="1"/>
      <c r="N42" s="1"/>
      <c r="O42" s="1"/>
      <c r="P42" s="1"/>
      <c r="Q42" s="1"/>
      <c r="R42" s="1"/>
      <c r="S42" s="1"/>
      <c r="T42" s="1"/>
      <c r="U42" s="1"/>
      <c r="V42" s="1"/>
      <c r="W42" s="1"/>
      <c r="X42" s="1"/>
      <c r="Y42" s="1"/>
      <c r="Z42" s="1"/>
    </row>
    <row r="43" spans="1:26">
      <c r="A43" s="32" t="s">
        <v>136</v>
      </c>
      <c r="B43" s="33">
        <f>ROUND('Variance Analysis'!I7,0)</f>
        <v>886</v>
      </c>
      <c r="C43" s="33">
        <f>ROUND('Variance Analysis'!J7,0)</f>
        <v>1260</v>
      </c>
      <c r="D43" s="1"/>
      <c r="E43" s="1"/>
      <c r="F43" s="1"/>
      <c r="G43" s="1"/>
      <c r="H43" s="1"/>
      <c r="I43" s="1"/>
      <c r="J43" s="1"/>
      <c r="K43" s="1"/>
      <c r="L43" s="1"/>
      <c r="M43" s="1"/>
      <c r="N43" s="1"/>
      <c r="O43" s="1"/>
      <c r="P43" s="1"/>
      <c r="Q43" s="1"/>
      <c r="R43" s="1"/>
      <c r="S43" s="1"/>
      <c r="T43" s="1"/>
      <c r="U43" s="1"/>
      <c r="V43" s="1"/>
      <c r="W43" s="1"/>
      <c r="X43" s="1"/>
      <c r="Y43" s="1"/>
      <c r="Z43" s="1"/>
    </row>
    <row r="44" spans="1:26">
      <c r="A44" s="1" t="s">
        <v>137</v>
      </c>
      <c r="B44" s="33">
        <f>ROUND('Variance Analysis'!I8,0)</f>
        <v>920</v>
      </c>
      <c r="C44" s="33">
        <f>ROUND('Variance Analysis'!J8,0)</f>
        <v>1254</v>
      </c>
      <c r="D44" s="1"/>
      <c r="E44" s="1"/>
      <c r="F44" s="1"/>
      <c r="G44" s="1"/>
      <c r="H44" s="1"/>
      <c r="I44" s="1"/>
      <c r="J44" s="1"/>
      <c r="K44" s="1"/>
      <c r="L44" s="1"/>
      <c r="M44" s="1"/>
      <c r="N44" s="1"/>
      <c r="O44" s="1"/>
      <c r="P44" s="1"/>
      <c r="Q44" s="1"/>
      <c r="R44" s="1"/>
      <c r="S44" s="1"/>
      <c r="T44" s="1"/>
      <c r="U44" s="1"/>
      <c r="V44" s="1"/>
      <c r="W44" s="1"/>
      <c r="X44" s="1"/>
      <c r="Y44" s="1"/>
      <c r="Z44" s="1"/>
    </row>
    <row r="45" spans="1:26">
      <c r="A45" s="1" t="s">
        <v>138</v>
      </c>
      <c r="B45" s="33">
        <f>ROUND('Variance Analysis'!I9,0)</f>
        <v>939</v>
      </c>
      <c r="C45" s="33">
        <f>ROUND('Variance Analysis'!J9,0)</f>
        <v>1241</v>
      </c>
      <c r="D45" s="1"/>
      <c r="E45" s="1"/>
      <c r="F45" s="1"/>
      <c r="G45" s="1"/>
      <c r="H45" s="1"/>
      <c r="I45" s="1"/>
      <c r="J45" s="1"/>
      <c r="K45" s="1"/>
      <c r="L45" s="1"/>
      <c r="M45" s="1"/>
      <c r="N45" s="1"/>
      <c r="O45" s="1"/>
      <c r="P45" s="1"/>
      <c r="Q45" s="1"/>
      <c r="R45" s="1"/>
      <c r="S45" s="1"/>
      <c r="T45" s="1"/>
      <c r="U45" s="1"/>
      <c r="V45" s="1"/>
      <c r="W45" s="1"/>
      <c r="X45" s="1"/>
      <c r="Y45" s="1"/>
      <c r="Z45" s="1"/>
    </row>
    <row r="46" spans="1:26">
      <c r="A46" s="1" t="s">
        <v>139</v>
      </c>
      <c r="B46" s="33">
        <f>ROUND('Variance Analysis'!I10,0)</f>
        <v>1030</v>
      </c>
      <c r="C46" s="33">
        <f>ROUND('Variance Analysis'!J10,0)</f>
        <v>1346</v>
      </c>
      <c r="D46" s="1"/>
      <c r="E46" s="1"/>
      <c r="F46" s="1"/>
      <c r="G46" s="1"/>
      <c r="H46" s="1"/>
      <c r="I46" s="1"/>
      <c r="J46" s="1"/>
      <c r="K46" s="1"/>
      <c r="L46" s="1"/>
      <c r="M46" s="1"/>
      <c r="N46" s="1"/>
      <c r="O46" s="1"/>
      <c r="P46" s="1"/>
      <c r="Q46" s="1"/>
      <c r="R46" s="1"/>
      <c r="S46" s="1"/>
      <c r="T46" s="1"/>
      <c r="U46" s="1"/>
      <c r="V46" s="1"/>
      <c r="W46" s="1"/>
      <c r="X46" s="1"/>
      <c r="Y46" s="1"/>
      <c r="Z46" s="1"/>
    </row>
    <row r="47" spans="1:26">
      <c r="A47" s="1" t="s">
        <v>140</v>
      </c>
      <c r="B47" s="33">
        <f>ROUND('Variance Analysis'!I11,0)</f>
        <v>1104</v>
      </c>
      <c r="C47" s="33">
        <f>ROUND('Variance Analysis'!J11,0)</f>
        <v>1390</v>
      </c>
      <c r="D47" s="1"/>
      <c r="E47" s="1"/>
      <c r="F47" s="1"/>
      <c r="G47" s="1"/>
      <c r="H47" s="1"/>
      <c r="I47" s="1"/>
      <c r="J47" s="1"/>
      <c r="K47" s="1"/>
      <c r="L47" s="1"/>
      <c r="M47" s="1"/>
      <c r="N47" s="1"/>
      <c r="O47" s="1"/>
      <c r="P47" s="1"/>
      <c r="Q47" s="1"/>
      <c r="R47" s="1"/>
      <c r="S47" s="1"/>
      <c r="T47" s="1"/>
      <c r="U47" s="1"/>
      <c r="V47" s="1"/>
      <c r="W47" s="1"/>
      <c r="X47" s="1"/>
      <c r="Y47" s="1"/>
      <c r="Z47" s="1"/>
    </row>
    <row r="48" spans="1:26">
      <c r="A48" s="1" t="s">
        <v>141</v>
      </c>
      <c r="B48" s="33">
        <f>ROUND('Variance Analysis'!I12,0)</f>
        <v>954</v>
      </c>
      <c r="C48" s="33">
        <f>ROUND('Variance Analysis'!J12,0)</f>
        <v>1333</v>
      </c>
      <c r="D48" s="1"/>
      <c r="E48" s="1"/>
      <c r="F48" s="1"/>
      <c r="G48" s="1"/>
      <c r="H48" s="1"/>
      <c r="I48" s="1"/>
      <c r="J48" s="1"/>
      <c r="K48" s="1"/>
      <c r="L48" s="1"/>
      <c r="M48" s="1"/>
      <c r="N48" s="1"/>
      <c r="O48" s="1"/>
      <c r="P48" s="1"/>
      <c r="Q48" s="1"/>
      <c r="R48" s="1"/>
      <c r="S48" s="1"/>
      <c r="T48" s="1"/>
      <c r="U48" s="1"/>
      <c r="V48" s="1"/>
      <c r="W48" s="1"/>
      <c r="X48" s="1"/>
      <c r="Y48" s="1"/>
      <c r="Z48" s="1"/>
    </row>
    <row r="49" spans="1:26">
      <c r="A49" s="1" t="s">
        <v>142</v>
      </c>
      <c r="B49" s="33">
        <f>ROUND('Variance Analysis'!I13,0)</f>
        <v>953</v>
      </c>
      <c r="C49" s="33">
        <f>ROUND('Variance Analysis'!J13,0)</f>
        <v>1263</v>
      </c>
      <c r="D49" s="1"/>
      <c r="E49" s="1"/>
      <c r="F49" s="1"/>
      <c r="G49" s="1"/>
      <c r="H49" s="1"/>
      <c r="I49" s="1"/>
      <c r="J49" s="1"/>
      <c r="K49" s="1"/>
      <c r="L49" s="1"/>
      <c r="M49" s="1"/>
      <c r="N49" s="1"/>
      <c r="O49" s="1"/>
      <c r="P49" s="1"/>
      <c r="Q49" s="1"/>
      <c r="R49" s="1"/>
      <c r="S49" s="1"/>
      <c r="T49" s="1"/>
      <c r="U49" s="1"/>
      <c r="V49" s="1"/>
      <c r="W49" s="1"/>
      <c r="X49" s="1"/>
      <c r="Y49" s="1"/>
      <c r="Z49" s="1"/>
    </row>
    <row r="50" spans="1:26">
      <c r="A50" s="1" t="s">
        <v>143</v>
      </c>
      <c r="B50" s="33">
        <f>ROUND('Variance Analysis'!I14,0)</f>
        <v>1032</v>
      </c>
      <c r="C50" s="33">
        <f>ROUND('Variance Analysis'!J14,0)</f>
        <v>1032</v>
      </c>
      <c r="D50" s="1"/>
      <c r="E50" s="1"/>
      <c r="F50" s="1"/>
      <c r="G50" s="1"/>
      <c r="H50" s="1"/>
      <c r="I50" s="1"/>
      <c r="J50" s="1"/>
      <c r="K50" s="1"/>
      <c r="L50" s="1"/>
      <c r="M50" s="1"/>
      <c r="N50" s="1"/>
      <c r="O50" s="1"/>
      <c r="P50" s="1"/>
      <c r="Q50" s="1"/>
      <c r="R50" s="1"/>
      <c r="S50" s="1"/>
      <c r="T50" s="1"/>
      <c r="U50" s="1"/>
      <c r="V50" s="1"/>
      <c r="W50" s="1"/>
      <c r="X50" s="1"/>
      <c r="Y50" s="1"/>
      <c r="Z50" s="1"/>
    </row>
    <row r="51" spans="1:26">
      <c r="A51" s="1" t="s">
        <v>144</v>
      </c>
      <c r="B51" s="33">
        <f>ROUND('Variance Analysis'!I15,0)</f>
        <v>1163</v>
      </c>
      <c r="C51" s="33">
        <f>ROUND('Variance Analysis'!J15,0)</f>
        <v>1163</v>
      </c>
      <c r="D51" s="1"/>
      <c r="E51" s="1"/>
      <c r="F51" s="1"/>
      <c r="G51" s="1"/>
      <c r="H51" s="1"/>
      <c r="I51" s="1"/>
      <c r="J51" s="1"/>
      <c r="K51" s="1"/>
      <c r="L51" s="1"/>
      <c r="M51" s="1"/>
      <c r="N51" s="1"/>
      <c r="O51" s="1"/>
      <c r="P51" s="1"/>
      <c r="Q51" s="1"/>
      <c r="R51" s="1"/>
      <c r="S51" s="1"/>
      <c r="T51" s="1"/>
      <c r="U51" s="1"/>
      <c r="V51" s="1"/>
      <c r="W51" s="1"/>
      <c r="X51" s="1"/>
      <c r="Y51" s="1"/>
      <c r="Z51" s="1"/>
    </row>
    <row r="52" spans="1:26">
      <c r="A52" s="1" t="s">
        <v>145</v>
      </c>
      <c r="B52" s="33">
        <f>ROUND('Variance Analysis'!I16,0)</f>
        <v>1332</v>
      </c>
      <c r="C52" s="33">
        <f>ROUND('Variance Analysis'!J16,0)</f>
        <v>1332</v>
      </c>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6.75" customHeight="1">
      <c r="A55" s="85" t="s">
        <v>148</v>
      </c>
      <c r="B55" s="85"/>
      <c r="C55" s="85"/>
      <c r="D55" s="85"/>
      <c r="E55" s="85"/>
      <c r="F55" s="85"/>
      <c r="G55" s="85"/>
      <c r="H55" s="85"/>
      <c r="I55" s="85"/>
      <c r="J55" s="85"/>
      <c r="K55" s="85"/>
      <c r="L55" s="85"/>
      <c r="M55" s="85"/>
      <c r="N55" s="85"/>
      <c r="O55" s="1"/>
      <c r="P55" s="1"/>
      <c r="Q55" s="1"/>
      <c r="R55" s="1"/>
      <c r="S55" s="1"/>
      <c r="T55" s="1"/>
      <c r="U55" s="1"/>
      <c r="V55" s="1"/>
      <c r="W55" s="1"/>
      <c r="X55" s="1"/>
      <c r="Y55" s="1"/>
      <c r="Z55" s="1"/>
    </row>
    <row r="56" spans="1:26" ht="32" customHeight="1">
      <c r="A56" s="36">
        <v>1</v>
      </c>
      <c r="B56" s="80" t="s">
        <v>149</v>
      </c>
      <c r="C56" s="80"/>
      <c r="D56" s="80"/>
      <c r="E56" s="80"/>
      <c r="F56" s="80"/>
      <c r="G56" s="80"/>
      <c r="H56" s="80"/>
      <c r="I56" s="80"/>
      <c r="J56" s="80"/>
      <c r="K56" s="80"/>
      <c r="L56" s="80"/>
      <c r="M56" s="80"/>
      <c r="N56" s="80"/>
      <c r="O56" s="1"/>
      <c r="P56" s="1"/>
      <c r="Q56" s="1"/>
      <c r="R56" s="1"/>
      <c r="S56" s="1"/>
      <c r="T56" s="1"/>
      <c r="U56" s="1"/>
      <c r="V56" s="1"/>
      <c r="W56" s="1"/>
      <c r="X56" s="1"/>
      <c r="Y56" s="1"/>
      <c r="Z56" s="1"/>
    </row>
    <row r="57" spans="1:26" ht="32" customHeight="1">
      <c r="A57" s="36">
        <v>2</v>
      </c>
      <c r="B57" s="80" t="s">
        <v>150</v>
      </c>
      <c r="C57" s="80"/>
      <c r="D57" s="80"/>
      <c r="E57" s="80"/>
      <c r="F57" s="80"/>
      <c r="G57" s="80"/>
      <c r="H57" s="80"/>
      <c r="I57" s="80"/>
      <c r="J57" s="80"/>
      <c r="K57" s="80"/>
      <c r="L57" s="80"/>
      <c r="M57" s="80"/>
      <c r="N57" s="80"/>
      <c r="O57" s="1"/>
      <c r="P57" s="1"/>
      <c r="Q57" s="1"/>
      <c r="R57" s="1"/>
      <c r="S57" s="1"/>
      <c r="T57" s="1"/>
      <c r="U57" s="1"/>
      <c r="V57" s="1"/>
      <c r="W57" s="1"/>
      <c r="X57" s="1"/>
      <c r="Y57" s="1"/>
      <c r="Z57" s="1"/>
    </row>
    <row r="58" spans="1:26" ht="32" customHeight="1">
      <c r="A58" s="36">
        <v>3</v>
      </c>
      <c r="B58" s="80" t="s">
        <v>151</v>
      </c>
      <c r="C58" s="80"/>
      <c r="D58" s="80"/>
      <c r="E58" s="80"/>
      <c r="F58" s="80"/>
      <c r="G58" s="80"/>
      <c r="H58" s="80"/>
      <c r="I58" s="80"/>
      <c r="J58" s="80"/>
      <c r="K58" s="80"/>
      <c r="L58" s="80"/>
      <c r="M58" s="80"/>
      <c r="N58" s="80"/>
      <c r="O58" s="1"/>
      <c r="P58" s="1"/>
      <c r="Q58" s="1"/>
      <c r="R58" s="1"/>
      <c r="S58" s="1"/>
      <c r="T58" s="1"/>
      <c r="U58" s="1"/>
      <c r="V58" s="1"/>
      <c r="W58" s="1"/>
      <c r="X58" s="1"/>
      <c r="Y58" s="1"/>
      <c r="Z58" s="1"/>
    </row>
    <row r="59" spans="1:26" ht="32" customHeight="1">
      <c r="A59" s="36">
        <v>4</v>
      </c>
      <c r="B59" s="80" t="s">
        <v>152</v>
      </c>
      <c r="C59" s="80"/>
      <c r="D59" s="80"/>
      <c r="E59" s="80"/>
      <c r="F59" s="80"/>
      <c r="G59" s="80"/>
      <c r="H59" s="80"/>
      <c r="I59" s="80"/>
      <c r="J59" s="80"/>
      <c r="K59" s="80"/>
      <c r="L59" s="80"/>
      <c r="M59" s="80"/>
      <c r="N59" s="80"/>
      <c r="O59" s="1"/>
      <c r="P59" s="1"/>
      <c r="Q59" s="1"/>
      <c r="R59" s="1"/>
      <c r="S59" s="1"/>
      <c r="T59" s="1"/>
      <c r="U59" s="1"/>
      <c r="V59" s="1"/>
      <c r="W59" s="1"/>
      <c r="X59" s="1"/>
      <c r="Y59" s="1"/>
      <c r="Z59" s="1"/>
    </row>
    <row r="60" spans="1:26" ht="32" customHeight="1">
      <c r="A60" s="36">
        <v>5</v>
      </c>
      <c r="B60" s="80" t="s">
        <v>153</v>
      </c>
      <c r="C60" s="80"/>
      <c r="D60" s="80"/>
      <c r="E60" s="80"/>
      <c r="F60" s="80"/>
      <c r="G60" s="80"/>
      <c r="H60" s="80"/>
      <c r="I60" s="80"/>
      <c r="J60" s="80"/>
      <c r="K60" s="80"/>
      <c r="L60" s="80"/>
      <c r="M60" s="80"/>
      <c r="N60" s="80"/>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6.75" customHeight="1">
      <c r="A64" s="90" t="s">
        <v>154</v>
      </c>
      <c r="B64" s="90"/>
      <c r="C64" s="90"/>
      <c r="D64" s="90"/>
      <c r="E64" s="90"/>
      <c r="F64" s="90"/>
      <c r="G64" s="90"/>
      <c r="H64" s="90"/>
      <c r="I64" s="90"/>
      <c r="J64" s="90"/>
      <c r="K64" s="90"/>
      <c r="L64" s="90"/>
      <c r="M64" s="90"/>
      <c r="N64" s="90"/>
      <c r="O64" s="1"/>
      <c r="P64" s="1"/>
      <c r="Q64" s="1"/>
      <c r="R64" s="1"/>
      <c r="S64" s="1"/>
      <c r="T64" s="1"/>
      <c r="U64" s="1"/>
      <c r="V64" s="1"/>
      <c r="W64" s="1"/>
      <c r="X64" s="1"/>
      <c r="Y64" s="1"/>
      <c r="Z64" s="1"/>
    </row>
    <row r="65" spans="1:26">
      <c r="A65" s="102" t="s">
        <v>155</v>
      </c>
      <c r="B65" s="102"/>
      <c r="C65" s="102"/>
      <c r="D65" s="102" t="s">
        <v>156</v>
      </c>
      <c r="E65" s="102"/>
      <c r="F65" s="102"/>
      <c r="G65" s="102" t="s">
        <v>157</v>
      </c>
      <c r="H65" s="102"/>
      <c r="I65" s="102"/>
      <c r="J65" s="102" t="s">
        <v>158</v>
      </c>
      <c r="K65" s="102"/>
      <c r="L65" s="102"/>
      <c r="M65" s="1"/>
      <c r="N65" s="1"/>
      <c r="O65" s="1"/>
      <c r="P65" s="1"/>
      <c r="Q65" s="1"/>
      <c r="R65" s="1"/>
      <c r="S65" s="1"/>
      <c r="T65" s="1"/>
      <c r="U65" s="1"/>
      <c r="V65" s="1"/>
      <c r="W65" s="1"/>
      <c r="X65" s="1"/>
      <c r="Y65" s="1"/>
      <c r="Z65" s="1"/>
    </row>
    <row r="66" spans="1:26">
      <c r="A66" s="103">
        <f>'Headcount &amp; Payroll'!M46</f>
        <v>206</v>
      </c>
      <c r="B66" s="104"/>
      <c r="C66" s="104"/>
      <c r="D66" s="105">
        <f>'Capex &amp; Depreciation'!N33</f>
        <v>3080</v>
      </c>
      <c r="E66" s="104"/>
      <c r="F66" s="104"/>
      <c r="G66" s="106">
        <f>'Working Capital'!Q25</f>
        <v>39</v>
      </c>
      <c r="H66" s="104"/>
      <c r="I66" s="104"/>
      <c r="J66" s="105">
        <f>'13-Week Cash Forecast'!N28</f>
        <v>7123.1935068148059</v>
      </c>
      <c r="K66" s="104"/>
      <c r="L66" s="104"/>
      <c r="M66" s="1"/>
      <c r="N66" s="1"/>
      <c r="O66" s="1"/>
      <c r="P66" s="1"/>
      <c r="Q66" s="1"/>
      <c r="R66" s="1"/>
      <c r="S66" s="1"/>
      <c r="T66" s="1"/>
      <c r="U66" s="1"/>
      <c r="V66" s="1"/>
      <c r="W66" s="1"/>
      <c r="X66" s="1"/>
      <c r="Y66" s="1"/>
      <c r="Z66" s="1"/>
    </row>
    <row r="67" spans="1:26">
      <c r="A67" s="104"/>
      <c r="B67" s="104"/>
      <c r="C67" s="104"/>
      <c r="D67" s="104"/>
      <c r="E67" s="104"/>
      <c r="F67" s="104"/>
      <c r="G67" s="104"/>
      <c r="H67" s="104"/>
      <c r="I67" s="104"/>
      <c r="J67" s="104"/>
      <c r="K67" s="104"/>
      <c r="L67" s="104"/>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
      <c r="A70" s="38" t="s">
        <v>159</v>
      </c>
      <c r="B70" s="38" t="s">
        <v>160</v>
      </c>
      <c r="C70" s="1"/>
      <c r="D70" s="1"/>
      <c r="E70" s="1"/>
      <c r="F70" s="1"/>
      <c r="G70" s="1"/>
      <c r="H70" s="1"/>
      <c r="I70" s="1"/>
      <c r="J70" s="1"/>
      <c r="K70" s="1"/>
      <c r="L70" s="1"/>
      <c r="M70" s="1"/>
      <c r="N70" s="1"/>
      <c r="O70" s="1"/>
      <c r="P70" s="1"/>
      <c r="Q70" s="1"/>
      <c r="R70" s="1"/>
      <c r="S70" s="1"/>
      <c r="T70" s="1"/>
      <c r="U70" s="1"/>
      <c r="V70" s="1"/>
      <c r="W70" s="1"/>
      <c r="X70" s="1"/>
      <c r="Y70" s="1"/>
      <c r="Z70" s="1"/>
    </row>
    <row r="71" spans="1:26">
      <c r="A71" s="1">
        <v>1</v>
      </c>
      <c r="B71" s="33">
        <f>'13-Week Cash Forecast'!N16</f>
        <v>2218.9571485268307</v>
      </c>
      <c r="C71" s="1"/>
      <c r="D71" s="1"/>
      <c r="E71" s="1"/>
      <c r="F71" s="1"/>
      <c r="G71" s="1"/>
      <c r="H71" s="1"/>
      <c r="I71" s="1"/>
      <c r="J71" s="1"/>
      <c r="K71" s="1"/>
      <c r="L71" s="1"/>
      <c r="M71" s="1"/>
      <c r="N71" s="1"/>
      <c r="O71" s="1"/>
      <c r="P71" s="1"/>
      <c r="Q71" s="1"/>
      <c r="R71" s="1"/>
      <c r="S71" s="1"/>
      <c r="T71" s="1"/>
      <c r="U71" s="1"/>
      <c r="V71" s="1"/>
      <c r="W71" s="1"/>
      <c r="X71" s="1"/>
      <c r="Y71" s="1"/>
      <c r="Z71" s="1"/>
    </row>
    <row r="72" spans="1:26">
      <c r="A72" s="1">
        <v>2</v>
      </c>
      <c r="B72" s="33">
        <f>'13-Week Cash Forecast'!N17</f>
        <v>3031.9852415332111</v>
      </c>
      <c r="C72" s="1"/>
      <c r="D72" s="1"/>
      <c r="E72" s="1"/>
      <c r="F72" s="1"/>
      <c r="G72" s="1"/>
      <c r="H72" s="1"/>
      <c r="I72" s="1"/>
      <c r="J72" s="1"/>
      <c r="K72" s="1"/>
      <c r="L72" s="1"/>
      <c r="M72" s="1"/>
      <c r="N72" s="1"/>
      <c r="O72" s="1"/>
      <c r="P72" s="1"/>
      <c r="Q72" s="1"/>
      <c r="R72" s="1"/>
      <c r="S72" s="1"/>
      <c r="T72" s="1"/>
      <c r="U72" s="1"/>
      <c r="V72" s="1"/>
      <c r="W72" s="1"/>
      <c r="X72" s="1"/>
      <c r="Y72" s="1"/>
      <c r="Z72" s="1"/>
    </row>
    <row r="73" spans="1:26">
      <c r="A73" s="1">
        <v>3</v>
      </c>
      <c r="B73" s="33">
        <f>'13-Week Cash Forecast'!N18</f>
        <v>4881.2928550330125</v>
      </c>
      <c r="C73" s="1"/>
      <c r="D73" s="1"/>
      <c r="E73" s="1"/>
      <c r="F73" s="1"/>
      <c r="G73" s="1"/>
      <c r="H73" s="1"/>
      <c r="I73" s="1"/>
      <c r="J73" s="1"/>
      <c r="K73" s="1"/>
      <c r="L73" s="1"/>
      <c r="M73" s="1"/>
      <c r="N73" s="1"/>
      <c r="O73" s="1"/>
      <c r="P73" s="1"/>
      <c r="Q73" s="1"/>
      <c r="R73" s="1"/>
      <c r="S73" s="1"/>
      <c r="T73" s="1"/>
      <c r="U73" s="1"/>
      <c r="V73" s="1"/>
      <c r="W73" s="1"/>
      <c r="X73" s="1"/>
      <c r="Y73" s="1"/>
      <c r="Z73" s="1"/>
    </row>
    <row r="74" spans="1:26">
      <c r="A74" s="1">
        <v>4</v>
      </c>
      <c r="B74" s="33">
        <f>'13-Week Cash Forecast'!N19</f>
        <v>5139.2084775788671</v>
      </c>
      <c r="C74" s="1"/>
      <c r="D74" s="1"/>
      <c r="E74" s="1"/>
      <c r="F74" s="1"/>
      <c r="G74" s="1"/>
      <c r="H74" s="1"/>
      <c r="I74" s="1"/>
      <c r="J74" s="1"/>
      <c r="K74" s="1"/>
      <c r="L74" s="1"/>
      <c r="M74" s="1"/>
      <c r="N74" s="1"/>
      <c r="O74" s="1"/>
      <c r="P74" s="1"/>
      <c r="Q74" s="1"/>
      <c r="R74" s="1"/>
      <c r="S74" s="1"/>
      <c r="T74" s="1"/>
      <c r="U74" s="1"/>
      <c r="V74" s="1"/>
      <c r="W74" s="1"/>
      <c r="X74" s="1"/>
      <c r="Y74" s="1"/>
      <c r="Z74" s="1"/>
    </row>
    <row r="75" spans="1:26">
      <c r="A75" s="1">
        <v>5</v>
      </c>
      <c r="B75" s="33">
        <f>'13-Week Cash Forecast'!N20</f>
        <v>5317.9774004083047</v>
      </c>
      <c r="C75" s="1"/>
      <c r="D75" s="1"/>
      <c r="E75" s="1"/>
      <c r="F75" s="1"/>
      <c r="G75" s="1"/>
      <c r="H75" s="1"/>
      <c r="I75" s="1"/>
      <c r="J75" s="1"/>
      <c r="K75" s="1"/>
      <c r="L75" s="1"/>
      <c r="M75" s="1"/>
      <c r="N75" s="1"/>
      <c r="O75" s="1"/>
      <c r="P75" s="1"/>
      <c r="Q75" s="1"/>
      <c r="R75" s="1"/>
      <c r="S75" s="1"/>
      <c r="T75" s="1"/>
      <c r="U75" s="1"/>
      <c r="V75" s="1"/>
      <c r="W75" s="1"/>
      <c r="X75" s="1"/>
      <c r="Y75" s="1"/>
      <c r="Z75" s="1"/>
    </row>
    <row r="76" spans="1:26">
      <c r="A76" s="1">
        <v>6</v>
      </c>
      <c r="B76" s="33">
        <f>'13-Week Cash Forecast'!N21</f>
        <v>5531.1773484151581</v>
      </c>
      <c r="C76" s="1"/>
      <c r="D76" s="1"/>
      <c r="E76" s="1"/>
      <c r="F76" s="1"/>
      <c r="G76" s="1"/>
      <c r="H76" s="1"/>
      <c r="I76" s="1"/>
      <c r="J76" s="1"/>
      <c r="K76" s="1"/>
      <c r="L76" s="1"/>
      <c r="M76" s="1"/>
      <c r="N76" s="1"/>
      <c r="O76" s="1"/>
      <c r="P76" s="1"/>
      <c r="Q76" s="1"/>
      <c r="R76" s="1"/>
      <c r="S76" s="1"/>
      <c r="T76" s="1"/>
      <c r="U76" s="1"/>
      <c r="V76" s="1"/>
      <c r="W76" s="1"/>
      <c r="X76" s="1"/>
      <c r="Y76" s="1"/>
      <c r="Z76" s="1"/>
    </row>
    <row r="77" spans="1:26">
      <c r="A77" s="1">
        <v>7</v>
      </c>
      <c r="B77" s="33">
        <f>'13-Week Cash Forecast'!N22</f>
        <v>5744.3772964220116</v>
      </c>
      <c r="C77" s="1"/>
      <c r="D77" s="1"/>
      <c r="E77" s="1"/>
      <c r="F77" s="1"/>
      <c r="G77" s="1"/>
      <c r="H77" s="1"/>
      <c r="I77" s="1"/>
      <c r="J77" s="1"/>
      <c r="K77" s="1"/>
      <c r="L77" s="1"/>
      <c r="M77" s="1"/>
      <c r="N77" s="1"/>
      <c r="O77" s="1"/>
      <c r="P77" s="1"/>
      <c r="Q77" s="1"/>
      <c r="R77" s="1"/>
      <c r="S77" s="1"/>
      <c r="T77" s="1"/>
      <c r="U77" s="1"/>
      <c r="V77" s="1"/>
      <c r="W77" s="1"/>
      <c r="X77" s="1"/>
      <c r="Y77" s="1"/>
      <c r="Z77" s="1"/>
    </row>
    <row r="78" spans="1:26">
      <c r="A78" s="1">
        <v>8</v>
      </c>
      <c r="B78" s="33">
        <f>'13-Week Cash Forecast'!N23</f>
        <v>5957.577244428865</v>
      </c>
      <c r="C78" s="1"/>
      <c r="D78" s="1"/>
      <c r="E78" s="1"/>
      <c r="F78" s="1"/>
      <c r="G78" s="1"/>
      <c r="H78" s="1"/>
      <c r="I78" s="1"/>
      <c r="J78" s="1"/>
      <c r="K78" s="1"/>
      <c r="L78" s="1"/>
      <c r="M78" s="1"/>
      <c r="N78" s="1"/>
      <c r="O78" s="1"/>
      <c r="P78" s="1"/>
      <c r="Q78" s="1"/>
      <c r="R78" s="1"/>
      <c r="S78" s="1"/>
      <c r="T78" s="1"/>
      <c r="U78" s="1"/>
      <c r="V78" s="1"/>
      <c r="W78" s="1"/>
      <c r="X78" s="1"/>
      <c r="Y78" s="1"/>
      <c r="Z78" s="1"/>
    </row>
    <row r="79" spans="1:26">
      <c r="A79" s="1">
        <v>9</v>
      </c>
      <c r="B79" s="33">
        <f>'13-Week Cash Forecast'!N24</f>
        <v>6307.9686701579676</v>
      </c>
      <c r="C79" s="1"/>
      <c r="D79" s="1"/>
      <c r="E79" s="1"/>
      <c r="F79" s="1"/>
      <c r="G79" s="1"/>
      <c r="H79" s="1"/>
      <c r="I79" s="1"/>
      <c r="J79" s="1"/>
      <c r="K79" s="1"/>
      <c r="L79" s="1"/>
      <c r="M79" s="1"/>
      <c r="N79" s="1"/>
      <c r="O79" s="1"/>
      <c r="P79" s="1"/>
      <c r="Q79" s="1"/>
      <c r="R79" s="1"/>
      <c r="S79" s="1"/>
      <c r="T79" s="1"/>
      <c r="U79" s="1"/>
      <c r="V79" s="1"/>
      <c r="W79" s="1"/>
      <c r="X79" s="1"/>
      <c r="Y79" s="1"/>
      <c r="Z79" s="1"/>
    </row>
    <row r="80" spans="1:26">
      <c r="A80" s="1">
        <v>10</v>
      </c>
      <c r="B80" s="33">
        <f>'13-Week Cash Forecast'!N25</f>
        <v>6324.2748793221772</v>
      </c>
      <c r="C80" s="1"/>
      <c r="D80" s="1"/>
      <c r="E80" s="1"/>
      <c r="F80" s="1"/>
      <c r="G80" s="1"/>
      <c r="H80" s="1"/>
      <c r="I80" s="1"/>
      <c r="J80" s="1"/>
      <c r="K80" s="1"/>
      <c r="L80" s="1"/>
      <c r="M80" s="1"/>
      <c r="N80" s="1"/>
      <c r="O80" s="1"/>
      <c r="P80" s="1"/>
      <c r="Q80" s="1"/>
      <c r="R80" s="1"/>
      <c r="S80" s="1"/>
      <c r="T80" s="1"/>
      <c r="U80" s="1"/>
      <c r="V80" s="1"/>
      <c r="W80" s="1"/>
      <c r="X80" s="1"/>
      <c r="Y80" s="1"/>
      <c r="Z80" s="1"/>
    </row>
    <row r="81" spans="1:26">
      <c r="A81" s="1">
        <v>11</v>
      </c>
      <c r="B81" s="33">
        <f>'13-Week Cash Forecast'!N26</f>
        <v>6590.5810884863868</v>
      </c>
      <c r="C81" s="1"/>
      <c r="D81" s="1"/>
      <c r="E81" s="1"/>
      <c r="F81" s="1"/>
      <c r="G81" s="1"/>
      <c r="H81" s="1"/>
      <c r="I81" s="1"/>
      <c r="J81" s="1"/>
      <c r="K81" s="1"/>
      <c r="L81" s="1"/>
      <c r="M81" s="1"/>
      <c r="N81" s="1"/>
      <c r="O81" s="1"/>
      <c r="P81" s="1"/>
      <c r="Q81" s="1"/>
      <c r="R81" s="1"/>
      <c r="S81" s="1"/>
      <c r="T81" s="1"/>
      <c r="U81" s="1"/>
      <c r="V81" s="1"/>
      <c r="W81" s="1"/>
      <c r="X81" s="1"/>
      <c r="Y81" s="1"/>
      <c r="Z81" s="1"/>
    </row>
    <row r="82" spans="1:26">
      <c r="A82" s="1">
        <v>12</v>
      </c>
      <c r="B82" s="33">
        <f>'13-Week Cash Forecast'!N27</f>
        <v>6856.8872976505963</v>
      </c>
      <c r="C82" s="1"/>
      <c r="D82" s="1"/>
      <c r="E82" s="1"/>
      <c r="F82" s="1"/>
      <c r="G82" s="1"/>
      <c r="H82" s="1"/>
      <c r="I82" s="1"/>
      <c r="J82" s="1"/>
      <c r="K82" s="1"/>
      <c r="L82" s="1"/>
      <c r="M82" s="1"/>
      <c r="N82" s="1"/>
      <c r="O82" s="1"/>
      <c r="P82" s="1"/>
      <c r="Q82" s="1"/>
      <c r="R82" s="1"/>
      <c r="S82" s="1"/>
      <c r="T82" s="1"/>
      <c r="U82" s="1"/>
      <c r="V82" s="1"/>
      <c r="W82" s="1"/>
      <c r="X82" s="1"/>
      <c r="Y82" s="1"/>
      <c r="Z82" s="1"/>
    </row>
    <row r="83" spans="1:26">
      <c r="A83" s="1">
        <v>13</v>
      </c>
      <c r="B83" s="33">
        <f>'13-Week Cash Forecast'!N28</f>
        <v>7123.1935068148059</v>
      </c>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6.75" customHeight="1">
      <c r="A87" s="87" t="s">
        <v>161</v>
      </c>
      <c r="B87" s="87"/>
      <c r="C87" s="87"/>
      <c r="D87" s="87"/>
      <c r="E87" s="87"/>
      <c r="F87" s="87"/>
      <c r="G87" s="87"/>
      <c r="H87" s="87"/>
      <c r="I87" s="87"/>
      <c r="J87" s="87"/>
      <c r="K87" s="87"/>
      <c r="L87" s="87"/>
      <c r="M87" s="87"/>
      <c r="N87" s="87"/>
      <c r="O87" s="1"/>
      <c r="P87" s="1"/>
      <c r="Q87" s="1"/>
      <c r="R87" s="1"/>
      <c r="S87" s="1"/>
      <c r="T87" s="1"/>
      <c r="U87" s="1"/>
      <c r="V87" s="1"/>
      <c r="W87" s="1"/>
      <c r="X87" s="1"/>
      <c r="Y87" s="1"/>
      <c r="Z87" s="1"/>
    </row>
    <row r="88" spans="1:26">
      <c r="A88" s="107" t="s">
        <v>162</v>
      </c>
      <c r="B88" s="107"/>
      <c r="C88" s="107"/>
      <c r="D88" s="107" t="s">
        <v>163</v>
      </c>
      <c r="E88" s="107"/>
      <c r="F88" s="107"/>
      <c r="G88" s="107" t="s">
        <v>164</v>
      </c>
      <c r="H88" s="107"/>
      <c r="I88" s="107"/>
      <c r="J88" s="107" t="s">
        <v>165</v>
      </c>
      <c r="K88" s="107"/>
      <c r="L88" s="107"/>
      <c r="M88" s="1"/>
      <c r="N88" s="1"/>
      <c r="O88" s="1"/>
      <c r="P88" s="1"/>
      <c r="Q88" s="1"/>
      <c r="R88" s="1"/>
      <c r="S88" s="1"/>
      <c r="T88" s="1"/>
      <c r="U88" s="1"/>
      <c r="V88" s="1"/>
      <c r="W88" s="1"/>
      <c r="X88" s="1"/>
      <c r="Y88" s="1"/>
      <c r="Z88" s="1"/>
    </row>
    <row r="89" spans="1:26">
      <c r="A89" s="108">
        <f>'PVM Analysis'!H12</f>
        <v>-255.6</v>
      </c>
      <c r="B89" s="109"/>
      <c r="C89" s="109"/>
      <c r="D89" s="108">
        <f>'PVM Analysis'!I12</f>
        <v>108.75</v>
      </c>
      <c r="E89" s="109"/>
      <c r="F89" s="109"/>
      <c r="G89" s="108">
        <f>'PVM Analysis'!J12</f>
        <v>-152.15</v>
      </c>
      <c r="H89" s="109"/>
      <c r="I89" s="109"/>
      <c r="J89" s="108">
        <f>'Risks &amp; Opportunities'!B27</f>
        <v>14831.584948031874</v>
      </c>
      <c r="K89" s="109"/>
      <c r="L89" s="109"/>
      <c r="M89" s="1"/>
      <c r="N89" s="1"/>
      <c r="O89" s="1"/>
      <c r="P89" s="1"/>
      <c r="Q89" s="1"/>
      <c r="R89" s="1"/>
      <c r="S89" s="1"/>
      <c r="T89" s="1"/>
      <c r="U89" s="1"/>
      <c r="V89" s="1"/>
      <c r="W89" s="1"/>
      <c r="X89" s="1"/>
      <c r="Y89" s="1"/>
      <c r="Z89" s="1"/>
    </row>
    <row r="90" spans="1:26">
      <c r="A90" s="109"/>
      <c r="B90" s="109"/>
      <c r="C90" s="109"/>
      <c r="D90" s="109"/>
      <c r="E90" s="109"/>
      <c r="F90" s="109"/>
      <c r="G90" s="109"/>
      <c r="H90" s="109"/>
      <c r="I90" s="109"/>
      <c r="J90" s="109"/>
      <c r="K90" s="109"/>
      <c r="L90" s="109"/>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10" t="str">
        <f>"PVM and management outlook shown for active scenario: "&amp;Assumptions!B6</f>
        <v>PVM and management outlook shown for active scenario: Base</v>
      </c>
      <c r="B92" s="110"/>
      <c r="C92" s="110"/>
      <c r="D92" s="110"/>
      <c r="E92" s="110"/>
      <c r="F92" s="110"/>
      <c r="G92" s="110"/>
      <c r="H92" s="110"/>
      <c r="I92" s="110"/>
      <c r="J92" s="110"/>
      <c r="K92" s="110"/>
      <c r="L92" s="110"/>
      <c r="M92" s="110"/>
      <c r="N92" s="110"/>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48">
    <mergeCell ref="J88:L88"/>
    <mergeCell ref="J89:L90"/>
    <mergeCell ref="A92:N92"/>
    <mergeCell ref="A88:C88"/>
    <mergeCell ref="A89:C90"/>
    <mergeCell ref="D88:F88"/>
    <mergeCell ref="D89:F90"/>
    <mergeCell ref="G88:I88"/>
    <mergeCell ref="G89:I90"/>
    <mergeCell ref="A66:C67"/>
    <mergeCell ref="D66:F67"/>
    <mergeCell ref="G66:I67"/>
    <mergeCell ref="J66:L67"/>
    <mergeCell ref="A87:N87"/>
    <mergeCell ref="A64:N64"/>
    <mergeCell ref="A65:C65"/>
    <mergeCell ref="D65:F65"/>
    <mergeCell ref="G65:I65"/>
    <mergeCell ref="J65:L65"/>
    <mergeCell ref="B56:N56"/>
    <mergeCell ref="B57:N57"/>
    <mergeCell ref="B58:N58"/>
    <mergeCell ref="B59:N59"/>
    <mergeCell ref="B60:N60"/>
    <mergeCell ref="A30:F30"/>
    <mergeCell ref="H14:N14"/>
    <mergeCell ref="H30:N30"/>
    <mergeCell ref="A39:N39"/>
    <mergeCell ref="A55:N55"/>
    <mergeCell ref="A10:C11"/>
    <mergeCell ref="D10:F11"/>
    <mergeCell ref="G10:I11"/>
    <mergeCell ref="J10:L11"/>
    <mergeCell ref="A14:F14"/>
    <mergeCell ref="A9:C9"/>
    <mergeCell ref="D9:F9"/>
    <mergeCell ref="G9:I9"/>
    <mergeCell ref="J9:L9"/>
    <mergeCell ref="A6:C7"/>
    <mergeCell ref="D6:F7"/>
    <mergeCell ref="G6:I7"/>
    <mergeCell ref="J6:L7"/>
    <mergeCell ref="A1:N1"/>
    <mergeCell ref="A3:N3"/>
    <mergeCell ref="A5:C5"/>
    <mergeCell ref="D5:F5"/>
    <mergeCell ref="G5:I5"/>
    <mergeCell ref="J5:L5"/>
  </mergeCells>
  <conditionalFormatting sqref="G6:I7">
    <cfRule type="expression" dxfId="31" priority="1">
      <formula>G6&lt;0</formula>
    </cfRule>
    <cfRule type="expression" dxfId="30" priority="2">
      <formula>G6&gt;0</formula>
    </cfRule>
  </conditionalFormatting>
  <conditionalFormatting sqref="G10:I11">
    <cfRule type="expression" dxfId="29" priority="3">
      <formula>G10&lt;0</formula>
    </cfRule>
    <cfRule type="expression" dxfId="28" priority="4">
      <formula>G10&gt;0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200"/>
  <sheetViews>
    <sheetView topLeftCell="A8" workbookViewId="0">
      <selection activeCell="I20" sqref="I20"/>
    </sheetView>
  </sheetViews>
  <sheetFormatPr baseColWidth="10" defaultColWidth="8.83203125" defaultRowHeight="15"/>
  <cols>
    <col min="1" max="1" width="18" customWidth="1"/>
    <col min="2" max="2" width="34" customWidth="1"/>
    <col min="3" max="3" width="14" customWidth="1"/>
    <col min="4" max="4" width="18" customWidth="1"/>
    <col min="5" max="5" width="24" customWidth="1"/>
    <col min="6" max="6" width="28" customWidth="1"/>
    <col min="7" max="7" width="32" customWidth="1"/>
  </cols>
  <sheetData>
    <row r="1" spans="1:26" ht="37.25" customHeight="1">
      <c r="A1" s="83" t="s">
        <v>166</v>
      </c>
      <c r="B1" s="83"/>
      <c r="C1" s="83"/>
      <c r="D1" s="83"/>
      <c r="E1" s="83"/>
      <c r="F1" s="83"/>
      <c r="G1" s="83"/>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16">
      <c r="A3" s="7" t="s">
        <v>167</v>
      </c>
      <c r="B3" s="7" t="s">
        <v>168</v>
      </c>
      <c r="C3" s="7" t="s">
        <v>169</v>
      </c>
      <c r="D3" s="7" t="s">
        <v>170</v>
      </c>
      <c r="E3" s="7" t="s">
        <v>171</v>
      </c>
      <c r="F3" s="7" t="s">
        <v>172</v>
      </c>
      <c r="G3" s="7" t="s">
        <v>173</v>
      </c>
      <c r="H3" s="1"/>
      <c r="I3" s="1"/>
      <c r="J3" s="1"/>
      <c r="K3" s="1"/>
      <c r="L3" s="1"/>
      <c r="M3" s="1"/>
      <c r="N3" s="1"/>
      <c r="O3" s="1"/>
      <c r="P3" s="1"/>
      <c r="Q3" s="1"/>
      <c r="R3" s="1"/>
      <c r="S3" s="1"/>
      <c r="T3" s="1"/>
      <c r="U3" s="1"/>
      <c r="V3" s="1"/>
      <c r="W3" s="1"/>
      <c r="X3" s="1"/>
      <c r="Y3" s="1"/>
      <c r="Z3" s="1"/>
    </row>
    <row r="4" spans="1:26" ht="16">
      <c r="A4" s="3" t="s">
        <v>78</v>
      </c>
      <c r="B4" s="4" t="s">
        <v>79</v>
      </c>
      <c r="C4" s="4" t="s">
        <v>174</v>
      </c>
      <c r="D4" s="4" t="s">
        <v>175</v>
      </c>
      <c r="E4" s="4" t="s">
        <v>176</v>
      </c>
      <c r="F4" s="4" t="s">
        <v>177</v>
      </c>
      <c r="G4" s="4" t="s">
        <v>178</v>
      </c>
      <c r="H4" s="1"/>
      <c r="I4" s="1"/>
      <c r="J4" s="1"/>
      <c r="K4" s="1"/>
      <c r="L4" s="1"/>
      <c r="M4" s="1"/>
      <c r="N4" s="1"/>
      <c r="O4" s="1"/>
      <c r="P4" s="1"/>
      <c r="Q4" s="1"/>
      <c r="R4" s="1"/>
      <c r="S4" s="1"/>
      <c r="T4" s="1"/>
      <c r="U4" s="1"/>
      <c r="V4" s="1"/>
      <c r="W4" s="1"/>
      <c r="X4" s="1"/>
      <c r="Y4" s="1"/>
      <c r="Z4" s="1"/>
    </row>
    <row r="5" spans="1:26" ht="16">
      <c r="A5" s="3" t="s">
        <v>179</v>
      </c>
      <c r="B5" s="4" t="s">
        <v>180</v>
      </c>
      <c r="C5" s="4" t="s">
        <v>181</v>
      </c>
      <c r="D5" s="4" t="s">
        <v>182</v>
      </c>
      <c r="E5" s="4" t="s">
        <v>176</v>
      </c>
      <c r="F5" s="4" t="s">
        <v>183</v>
      </c>
      <c r="G5" s="4" t="s">
        <v>184</v>
      </c>
      <c r="H5" s="1"/>
      <c r="I5" s="1"/>
      <c r="J5" s="1"/>
      <c r="K5" s="1"/>
      <c r="L5" s="1"/>
      <c r="M5" s="1"/>
      <c r="N5" s="1"/>
      <c r="O5" s="1"/>
      <c r="P5" s="1"/>
      <c r="Q5" s="1"/>
      <c r="R5" s="1"/>
      <c r="S5" s="1"/>
      <c r="T5" s="1"/>
      <c r="U5" s="1"/>
      <c r="V5" s="1"/>
      <c r="W5" s="1"/>
      <c r="X5" s="1"/>
      <c r="Y5" s="1"/>
      <c r="Z5" s="1"/>
    </row>
    <row r="6" spans="1:26" ht="16">
      <c r="A6" s="3" t="s">
        <v>185</v>
      </c>
      <c r="B6" s="4" t="s">
        <v>186</v>
      </c>
      <c r="C6" s="4" t="s">
        <v>187</v>
      </c>
      <c r="D6" s="4" t="s">
        <v>188</v>
      </c>
      <c r="E6" s="4" t="s">
        <v>189</v>
      </c>
      <c r="F6" s="4" t="s">
        <v>190</v>
      </c>
      <c r="G6" s="4" t="s">
        <v>191</v>
      </c>
      <c r="H6" s="1"/>
      <c r="I6" s="1"/>
      <c r="J6" s="1"/>
      <c r="K6" s="1"/>
      <c r="L6" s="1"/>
      <c r="M6" s="1"/>
      <c r="N6" s="1"/>
      <c r="O6" s="1"/>
      <c r="P6" s="1"/>
      <c r="Q6" s="1"/>
      <c r="R6" s="1"/>
      <c r="S6" s="1"/>
      <c r="T6" s="1"/>
      <c r="U6" s="1"/>
      <c r="V6" s="1"/>
      <c r="W6" s="1"/>
      <c r="X6" s="1"/>
      <c r="Y6" s="1"/>
      <c r="Z6" s="1"/>
    </row>
    <row r="7" spans="1:26" ht="16">
      <c r="A7" s="3" t="s">
        <v>51</v>
      </c>
      <c r="B7" s="4" t="s">
        <v>192</v>
      </c>
      <c r="C7" s="4" t="s">
        <v>181</v>
      </c>
      <c r="D7" s="4" t="s">
        <v>182</v>
      </c>
      <c r="E7" s="4" t="s">
        <v>176</v>
      </c>
      <c r="F7" s="4" t="s">
        <v>193</v>
      </c>
      <c r="G7" s="4" t="s">
        <v>194</v>
      </c>
      <c r="H7" s="1"/>
      <c r="I7" s="1"/>
      <c r="J7" s="1"/>
      <c r="K7" s="1"/>
      <c r="L7" s="1"/>
      <c r="M7" s="1"/>
      <c r="N7" s="1"/>
      <c r="O7" s="1"/>
      <c r="P7" s="1"/>
      <c r="Q7" s="1"/>
      <c r="R7" s="1"/>
      <c r="S7" s="1"/>
      <c r="T7" s="1"/>
      <c r="U7" s="1"/>
      <c r="V7" s="1"/>
      <c r="W7" s="1"/>
      <c r="X7" s="1"/>
      <c r="Y7" s="1"/>
      <c r="Z7" s="1"/>
    </row>
    <row r="8" spans="1:26" ht="16">
      <c r="A8" s="3" t="s">
        <v>195</v>
      </c>
      <c r="B8" s="4" t="s">
        <v>196</v>
      </c>
      <c r="C8" s="4" t="s">
        <v>187</v>
      </c>
      <c r="D8" s="4" t="s">
        <v>188</v>
      </c>
      <c r="E8" s="4" t="s">
        <v>189</v>
      </c>
      <c r="F8" s="4" t="s">
        <v>197</v>
      </c>
      <c r="G8" s="4" t="s">
        <v>191</v>
      </c>
      <c r="H8" s="1"/>
      <c r="I8" s="1"/>
      <c r="J8" s="1"/>
      <c r="K8" s="1"/>
      <c r="L8" s="1"/>
      <c r="M8" s="1"/>
      <c r="N8" s="1"/>
      <c r="O8" s="1"/>
      <c r="P8" s="1"/>
      <c r="Q8" s="1"/>
      <c r="R8" s="1"/>
      <c r="S8" s="1"/>
      <c r="T8" s="1"/>
      <c r="U8" s="1"/>
      <c r="V8" s="1"/>
      <c r="W8" s="1"/>
      <c r="X8" s="1"/>
      <c r="Y8" s="1"/>
      <c r="Z8" s="1"/>
    </row>
    <row r="9" spans="1:26" ht="16">
      <c r="A9" s="3" t="s">
        <v>198</v>
      </c>
      <c r="B9" s="4" t="s">
        <v>199</v>
      </c>
      <c r="C9" s="4" t="s">
        <v>187</v>
      </c>
      <c r="D9" s="4" t="s">
        <v>188</v>
      </c>
      <c r="E9" s="4" t="s">
        <v>189</v>
      </c>
      <c r="F9" s="4" t="s">
        <v>200</v>
      </c>
      <c r="G9" s="4" t="s">
        <v>201</v>
      </c>
      <c r="H9" s="1"/>
      <c r="I9" s="1"/>
      <c r="J9" s="1"/>
      <c r="K9" s="1"/>
      <c r="L9" s="1"/>
      <c r="M9" s="1"/>
      <c r="N9" s="1"/>
      <c r="O9" s="1"/>
      <c r="P9" s="1"/>
      <c r="Q9" s="1"/>
      <c r="R9" s="1"/>
      <c r="S9" s="1"/>
      <c r="T9" s="1"/>
      <c r="U9" s="1"/>
      <c r="V9" s="1"/>
      <c r="W9" s="1"/>
      <c r="X9" s="1"/>
      <c r="Y9" s="1"/>
      <c r="Z9" s="1"/>
    </row>
    <row r="10" spans="1:26" ht="16">
      <c r="A10" s="3" t="s">
        <v>91</v>
      </c>
      <c r="B10" s="4" t="s">
        <v>202</v>
      </c>
      <c r="C10" s="4" t="s">
        <v>203</v>
      </c>
      <c r="D10" s="4" t="s">
        <v>188</v>
      </c>
      <c r="E10" s="4" t="s">
        <v>189</v>
      </c>
      <c r="F10" s="4" t="s">
        <v>204</v>
      </c>
      <c r="G10" s="4" t="s">
        <v>201</v>
      </c>
      <c r="H10" s="1"/>
      <c r="I10" s="1"/>
      <c r="J10" s="1"/>
      <c r="K10" s="1"/>
      <c r="L10" s="1"/>
      <c r="M10" s="1"/>
      <c r="N10" s="1"/>
      <c r="O10" s="1"/>
      <c r="P10" s="1"/>
      <c r="Q10" s="1"/>
      <c r="R10" s="1"/>
      <c r="S10" s="1"/>
      <c r="T10" s="1"/>
      <c r="U10" s="1"/>
      <c r="V10" s="1"/>
      <c r="W10" s="1"/>
      <c r="X10" s="1"/>
      <c r="Y10" s="1"/>
      <c r="Z10" s="1"/>
    </row>
    <row r="11" spans="1:26" ht="16">
      <c r="A11" s="3" t="s">
        <v>52</v>
      </c>
      <c r="B11" s="4" t="s">
        <v>205</v>
      </c>
      <c r="C11" s="4" t="s">
        <v>187</v>
      </c>
      <c r="D11" s="4" t="s">
        <v>182</v>
      </c>
      <c r="E11" s="4" t="s">
        <v>189</v>
      </c>
      <c r="F11" s="4" t="s">
        <v>206</v>
      </c>
      <c r="G11" s="4" t="s">
        <v>207</v>
      </c>
      <c r="H11" s="1"/>
      <c r="I11" s="1"/>
      <c r="J11" s="1"/>
      <c r="K11" s="1"/>
      <c r="L11" s="1"/>
      <c r="M11" s="1"/>
      <c r="N11" s="1"/>
      <c r="O11" s="1"/>
      <c r="P11" s="1"/>
      <c r="Q11" s="1"/>
      <c r="R11" s="1"/>
      <c r="S11" s="1"/>
      <c r="T11" s="1"/>
      <c r="U11" s="1"/>
      <c r="V11" s="1"/>
      <c r="W11" s="1"/>
      <c r="X11" s="1"/>
      <c r="Y11" s="1"/>
      <c r="Z11" s="1"/>
    </row>
    <row r="12" spans="1:26" ht="16">
      <c r="A12" s="3" t="s">
        <v>208</v>
      </c>
      <c r="B12" s="4" t="s">
        <v>209</v>
      </c>
      <c r="C12" s="4" t="s">
        <v>187</v>
      </c>
      <c r="D12" s="4" t="s">
        <v>182</v>
      </c>
      <c r="E12" s="4" t="s">
        <v>189</v>
      </c>
      <c r="F12" s="4" t="s">
        <v>210</v>
      </c>
      <c r="G12" s="4" t="s">
        <v>211</v>
      </c>
      <c r="H12" s="1"/>
      <c r="I12" s="1"/>
      <c r="J12" s="1"/>
      <c r="K12" s="1"/>
      <c r="L12" s="1"/>
      <c r="M12" s="1"/>
      <c r="N12" s="1"/>
      <c r="O12" s="1"/>
      <c r="P12" s="1"/>
      <c r="Q12" s="1"/>
      <c r="R12" s="1"/>
      <c r="S12" s="1"/>
      <c r="T12" s="1"/>
      <c r="U12" s="1"/>
      <c r="V12" s="1"/>
      <c r="W12" s="1"/>
      <c r="X12" s="1"/>
      <c r="Y12" s="1"/>
      <c r="Z12" s="1"/>
    </row>
    <row r="13" spans="1:26" ht="16">
      <c r="A13" s="3" t="s">
        <v>53</v>
      </c>
      <c r="B13" s="4" t="s">
        <v>212</v>
      </c>
      <c r="C13" s="4" t="s">
        <v>187</v>
      </c>
      <c r="D13" s="4" t="s">
        <v>182</v>
      </c>
      <c r="E13" s="4" t="s">
        <v>189</v>
      </c>
      <c r="F13" s="4" t="s">
        <v>213</v>
      </c>
      <c r="G13" s="4" t="s">
        <v>211</v>
      </c>
      <c r="H13" s="1"/>
      <c r="I13" s="1"/>
      <c r="J13" s="1"/>
      <c r="K13" s="1"/>
      <c r="L13" s="1"/>
      <c r="M13" s="1"/>
      <c r="N13" s="1"/>
      <c r="O13" s="1"/>
      <c r="P13" s="1"/>
      <c r="Q13" s="1"/>
      <c r="R13" s="1"/>
      <c r="S13" s="1"/>
      <c r="T13" s="1"/>
      <c r="U13" s="1"/>
      <c r="V13" s="1"/>
      <c r="W13" s="1"/>
      <c r="X13" s="1"/>
      <c r="Y13" s="1"/>
      <c r="Z13" s="1"/>
    </row>
    <row r="14" spans="1:26" ht="16">
      <c r="A14" s="3" t="s">
        <v>214</v>
      </c>
      <c r="B14" s="4" t="s">
        <v>215</v>
      </c>
      <c r="C14" s="4" t="s">
        <v>187</v>
      </c>
      <c r="D14" s="4" t="s">
        <v>188</v>
      </c>
      <c r="E14" s="4" t="s">
        <v>189</v>
      </c>
      <c r="F14" s="4" t="s">
        <v>216</v>
      </c>
      <c r="G14" s="4" t="s">
        <v>201</v>
      </c>
      <c r="H14" s="1"/>
      <c r="I14" s="1"/>
      <c r="J14" s="1"/>
      <c r="K14" s="1"/>
      <c r="L14" s="1"/>
      <c r="M14" s="1"/>
      <c r="N14" s="1"/>
      <c r="O14" s="1"/>
      <c r="P14" s="1"/>
      <c r="Q14" s="1"/>
      <c r="R14" s="1"/>
      <c r="S14" s="1"/>
      <c r="T14" s="1"/>
      <c r="U14" s="1"/>
      <c r="V14" s="1"/>
      <c r="W14" s="1"/>
      <c r="X14" s="1"/>
      <c r="Y14" s="1"/>
      <c r="Z14" s="1"/>
    </row>
    <row r="15" spans="1:26" ht="16">
      <c r="A15" s="3" t="s">
        <v>48</v>
      </c>
      <c r="B15" s="4" t="s">
        <v>217</v>
      </c>
      <c r="C15" s="4" t="s">
        <v>218</v>
      </c>
      <c r="D15" s="4" t="s">
        <v>175</v>
      </c>
      <c r="E15" s="4" t="s">
        <v>108</v>
      </c>
      <c r="F15" s="4" t="s">
        <v>219</v>
      </c>
      <c r="G15" s="4" t="s">
        <v>220</v>
      </c>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37" t="s">
        <v>221</v>
      </c>
      <c r="B17" s="37"/>
      <c r="C17" s="37"/>
      <c r="D17" s="37"/>
      <c r="E17" s="37"/>
      <c r="F17" s="37"/>
      <c r="G17" s="37"/>
      <c r="H17" s="1"/>
      <c r="I17" s="1"/>
      <c r="J17" s="1"/>
      <c r="K17" s="1"/>
      <c r="L17" s="1"/>
      <c r="M17" s="1"/>
      <c r="N17" s="1"/>
      <c r="O17" s="1"/>
      <c r="P17" s="1"/>
      <c r="Q17" s="1"/>
      <c r="R17" s="1"/>
      <c r="S17" s="1"/>
      <c r="T17" s="1"/>
      <c r="U17" s="1"/>
      <c r="V17" s="1"/>
      <c r="W17" s="1"/>
      <c r="X17" s="1"/>
      <c r="Y17" s="1"/>
      <c r="Z17" s="1"/>
    </row>
    <row r="18" spans="1:26" ht="16">
      <c r="A18" s="3" t="s">
        <v>222</v>
      </c>
      <c r="B18" s="4" t="s">
        <v>223</v>
      </c>
      <c r="C18" s="4" t="s">
        <v>224</v>
      </c>
      <c r="D18" s="4" t="s">
        <v>175</v>
      </c>
      <c r="E18" s="4" t="s">
        <v>225</v>
      </c>
      <c r="F18" s="4" t="s">
        <v>226</v>
      </c>
      <c r="G18" s="4" t="s">
        <v>227</v>
      </c>
      <c r="H18" s="1"/>
      <c r="I18" s="1"/>
      <c r="J18" s="1"/>
      <c r="K18" s="1"/>
      <c r="L18" s="1"/>
      <c r="M18" s="1"/>
      <c r="N18" s="1"/>
      <c r="O18" s="1"/>
      <c r="P18" s="1"/>
      <c r="Q18" s="1"/>
      <c r="R18" s="1"/>
      <c r="S18" s="1"/>
      <c r="T18" s="1"/>
      <c r="U18" s="1"/>
      <c r="V18" s="1"/>
      <c r="W18" s="1"/>
      <c r="X18" s="1"/>
      <c r="Y18" s="1"/>
      <c r="Z18" s="1"/>
    </row>
    <row r="19" spans="1:26" ht="16">
      <c r="A19" s="3" t="s">
        <v>228</v>
      </c>
      <c r="B19" s="4" t="s">
        <v>229</v>
      </c>
      <c r="C19" s="4" t="s">
        <v>203</v>
      </c>
      <c r="D19" s="4" t="s">
        <v>175</v>
      </c>
      <c r="E19" s="4" t="s">
        <v>225</v>
      </c>
      <c r="F19" s="4" t="s">
        <v>230</v>
      </c>
      <c r="G19" s="4" t="s">
        <v>231</v>
      </c>
      <c r="H19" s="1"/>
      <c r="I19" s="1"/>
      <c r="J19" s="1"/>
      <c r="K19" s="1"/>
      <c r="L19" s="1"/>
      <c r="M19" s="1"/>
      <c r="N19" s="1"/>
      <c r="O19" s="1"/>
      <c r="P19" s="1"/>
      <c r="Q19" s="1"/>
      <c r="R19" s="1"/>
      <c r="S19" s="1"/>
      <c r="T19" s="1"/>
      <c r="U19" s="1"/>
      <c r="V19" s="1"/>
      <c r="W19" s="1"/>
      <c r="X19" s="1"/>
      <c r="Y19" s="1"/>
      <c r="Z19" s="1"/>
    </row>
    <row r="20" spans="1:26" ht="16">
      <c r="A20" s="3" t="s">
        <v>232</v>
      </c>
      <c r="B20" s="4" t="s">
        <v>233</v>
      </c>
      <c r="C20" s="4" t="s">
        <v>187</v>
      </c>
      <c r="D20" s="4" t="s">
        <v>175</v>
      </c>
      <c r="E20" s="4" t="s">
        <v>234</v>
      </c>
      <c r="F20" s="4" t="s">
        <v>235</v>
      </c>
      <c r="G20" s="4" t="s">
        <v>236</v>
      </c>
      <c r="H20" s="1"/>
      <c r="I20" s="1"/>
      <c r="J20" s="1"/>
      <c r="K20" s="1"/>
      <c r="L20" s="1"/>
      <c r="M20" s="1"/>
      <c r="N20" s="1"/>
      <c r="O20" s="1"/>
      <c r="P20" s="1"/>
      <c r="Q20" s="1"/>
      <c r="R20" s="1"/>
      <c r="S20" s="1"/>
      <c r="T20" s="1"/>
      <c r="U20" s="1"/>
      <c r="V20" s="1"/>
      <c r="W20" s="1"/>
      <c r="X20" s="1"/>
      <c r="Y20" s="1"/>
      <c r="Z20" s="1"/>
    </row>
    <row r="21" spans="1:26" ht="32">
      <c r="A21" s="3" t="s">
        <v>237</v>
      </c>
      <c r="B21" s="4" t="s">
        <v>238</v>
      </c>
      <c r="C21" s="4" t="s">
        <v>187</v>
      </c>
      <c r="D21" s="4" t="s">
        <v>188</v>
      </c>
      <c r="E21" s="4" t="s">
        <v>234</v>
      </c>
      <c r="F21" s="4" t="s">
        <v>239</v>
      </c>
      <c r="G21" s="4" t="s">
        <v>240</v>
      </c>
      <c r="H21" s="1"/>
      <c r="I21" s="1"/>
      <c r="J21" s="1"/>
      <c r="K21" s="1"/>
      <c r="L21" s="1"/>
      <c r="M21" s="1"/>
      <c r="N21" s="1"/>
      <c r="O21" s="1"/>
      <c r="P21" s="1"/>
      <c r="Q21" s="1"/>
      <c r="R21" s="1"/>
      <c r="S21" s="1"/>
      <c r="T21" s="1"/>
      <c r="U21" s="1"/>
      <c r="V21" s="1"/>
      <c r="W21" s="1"/>
      <c r="X21" s="1"/>
      <c r="Y21" s="1"/>
      <c r="Z21" s="1"/>
    </row>
    <row r="22" spans="1:26" ht="16">
      <c r="A22" s="3" t="s">
        <v>241</v>
      </c>
      <c r="B22" s="4" t="s">
        <v>242</v>
      </c>
      <c r="C22" s="4" t="s">
        <v>243</v>
      </c>
      <c r="D22" s="4" t="s">
        <v>244</v>
      </c>
      <c r="E22" s="4" t="s">
        <v>245</v>
      </c>
      <c r="F22" s="4" t="s">
        <v>246</v>
      </c>
      <c r="G22" s="4" t="s">
        <v>247</v>
      </c>
      <c r="H22" s="1"/>
      <c r="I22" s="1"/>
      <c r="J22" s="1"/>
      <c r="K22" s="1"/>
      <c r="L22" s="1"/>
      <c r="M22" s="1"/>
      <c r="N22" s="1"/>
      <c r="O22" s="1"/>
      <c r="P22" s="1"/>
      <c r="Q22" s="1"/>
      <c r="R22" s="1"/>
      <c r="S22" s="1"/>
      <c r="T22" s="1"/>
      <c r="U22" s="1"/>
      <c r="V22" s="1"/>
      <c r="W22" s="1"/>
      <c r="X22" s="1"/>
      <c r="Y22" s="1"/>
      <c r="Z22" s="1"/>
    </row>
    <row r="23" spans="1:26" ht="16">
      <c r="A23" s="3" t="s">
        <v>248</v>
      </c>
      <c r="B23" s="4" t="s">
        <v>249</v>
      </c>
      <c r="C23" s="4" t="s">
        <v>243</v>
      </c>
      <c r="D23" s="4" t="s">
        <v>244</v>
      </c>
      <c r="E23" s="4" t="s">
        <v>245</v>
      </c>
      <c r="F23" s="4" t="s">
        <v>250</v>
      </c>
      <c r="G23" s="4" t="s">
        <v>247</v>
      </c>
      <c r="H23" s="1"/>
      <c r="I23" s="1"/>
      <c r="J23" s="1"/>
      <c r="K23" s="1"/>
      <c r="L23" s="1"/>
      <c r="M23" s="1"/>
      <c r="N23" s="1"/>
      <c r="O23" s="1"/>
      <c r="P23" s="1"/>
      <c r="Q23" s="1"/>
      <c r="R23" s="1"/>
      <c r="S23" s="1"/>
      <c r="T23" s="1"/>
      <c r="U23" s="1"/>
      <c r="V23" s="1"/>
      <c r="W23" s="1"/>
      <c r="X23" s="1"/>
      <c r="Y23" s="1"/>
      <c r="Z23" s="1"/>
    </row>
    <row r="24" spans="1:26" ht="16">
      <c r="A24" s="3" t="s">
        <v>251</v>
      </c>
      <c r="B24" s="4" t="s">
        <v>252</v>
      </c>
      <c r="C24" s="4" t="s">
        <v>243</v>
      </c>
      <c r="D24" s="4" t="s">
        <v>244</v>
      </c>
      <c r="E24" s="4" t="s">
        <v>245</v>
      </c>
      <c r="F24" s="4" t="s">
        <v>253</v>
      </c>
      <c r="G24" s="4" t="s">
        <v>247</v>
      </c>
      <c r="H24" s="1"/>
      <c r="I24" s="1"/>
      <c r="J24" s="1"/>
      <c r="K24" s="1"/>
      <c r="L24" s="1"/>
      <c r="M24" s="1"/>
      <c r="N24" s="1"/>
      <c r="O24" s="1"/>
      <c r="P24" s="1"/>
      <c r="Q24" s="1"/>
      <c r="R24" s="1"/>
      <c r="S24" s="1"/>
      <c r="T24" s="1"/>
      <c r="U24" s="1"/>
      <c r="V24" s="1"/>
      <c r="W24" s="1"/>
      <c r="X24" s="1"/>
      <c r="Y24" s="1"/>
      <c r="Z24" s="1"/>
    </row>
    <row r="25" spans="1:26" ht="32">
      <c r="A25" s="3" t="s">
        <v>254</v>
      </c>
      <c r="B25" s="4" t="s">
        <v>255</v>
      </c>
      <c r="C25" s="4" t="s">
        <v>243</v>
      </c>
      <c r="D25" s="4" t="s">
        <v>188</v>
      </c>
      <c r="E25" s="4" t="s">
        <v>245</v>
      </c>
      <c r="F25" s="4" t="s">
        <v>256</v>
      </c>
      <c r="G25" s="4" t="s">
        <v>257</v>
      </c>
      <c r="H25" s="1"/>
      <c r="I25" s="1"/>
      <c r="J25" s="1"/>
      <c r="K25" s="1"/>
      <c r="L25" s="1"/>
      <c r="M25" s="1"/>
      <c r="N25" s="1"/>
      <c r="O25" s="1"/>
      <c r="P25" s="1"/>
      <c r="Q25" s="1"/>
      <c r="R25" s="1"/>
      <c r="S25" s="1"/>
      <c r="T25" s="1"/>
      <c r="U25" s="1"/>
      <c r="V25" s="1"/>
      <c r="W25" s="1"/>
      <c r="X25" s="1"/>
      <c r="Y25" s="1"/>
      <c r="Z25" s="1"/>
    </row>
    <row r="26" spans="1:26" ht="32">
      <c r="A26" s="3" t="s">
        <v>258</v>
      </c>
      <c r="B26" s="4" t="s">
        <v>259</v>
      </c>
      <c r="C26" s="4" t="s">
        <v>187</v>
      </c>
      <c r="D26" s="4" t="s">
        <v>188</v>
      </c>
      <c r="E26" s="4" t="s">
        <v>258</v>
      </c>
      <c r="F26" s="4" t="s">
        <v>260</v>
      </c>
      <c r="G26" s="4" t="s">
        <v>261</v>
      </c>
      <c r="H26" s="1"/>
      <c r="I26" s="1"/>
      <c r="J26" s="1"/>
      <c r="K26" s="1"/>
      <c r="L26" s="1"/>
      <c r="M26" s="1"/>
      <c r="N26" s="1"/>
      <c r="O26" s="1"/>
      <c r="P26" s="1"/>
      <c r="Q26" s="1"/>
      <c r="R26" s="1"/>
      <c r="S26" s="1"/>
      <c r="T26" s="1"/>
      <c r="U26" s="1"/>
      <c r="V26" s="1"/>
      <c r="W26" s="1"/>
      <c r="X26" s="1"/>
      <c r="Y26" s="1"/>
      <c r="Z26" s="1"/>
    </row>
    <row r="27" spans="1:26" ht="32">
      <c r="A27" s="3" t="s">
        <v>262</v>
      </c>
      <c r="B27" s="4" t="s">
        <v>263</v>
      </c>
      <c r="C27" s="4" t="s">
        <v>187</v>
      </c>
      <c r="D27" s="4" t="s">
        <v>188</v>
      </c>
      <c r="E27" s="4" t="s">
        <v>264</v>
      </c>
      <c r="F27" s="4" t="s">
        <v>265</v>
      </c>
      <c r="G27" s="4" t="s">
        <v>266</v>
      </c>
      <c r="H27" s="1"/>
      <c r="I27" s="1"/>
      <c r="J27" s="1"/>
      <c r="K27" s="1"/>
      <c r="L27" s="1"/>
      <c r="M27" s="1"/>
      <c r="N27" s="1"/>
      <c r="O27" s="1"/>
      <c r="P27" s="1"/>
      <c r="Q27" s="1"/>
      <c r="R27" s="1"/>
      <c r="S27" s="1"/>
      <c r="T27" s="1"/>
      <c r="U27" s="1"/>
      <c r="V27" s="1"/>
      <c r="W27" s="1"/>
      <c r="X27" s="1"/>
      <c r="Y27" s="1"/>
      <c r="Z27" s="1"/>
    </row>
    <row r="28" spans="1:26" ht="32">
      <c r="A28" s="3" t="s">
        <v>267</v>
      </c>
      <c r="B28" s="4" t="s">
        <v>268</v>
      </c>
      <c r="C28" s="4" t="s">
        <v>203</v>
      </c>
      <c r="D28" s="4" t="s">
        <v>188</v>
      </c>
      <c r="E28" s="4" t="s">
        <v>264</v>
      </c>
      <c r="F28" s="4" t="s">
        <v>265</v>
      </c>
      <c r="G28" s="4" t="s">
        <v>269</v>
      </c>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56" t="s">
        <v>270</v>
      </c>
      <c r="B30" s="56"/>
      <c r="C30" s="56"/>
      <c r="D30" s="56"/>
      <c r="E30" s="56"/>
      <c r="F30" s="56"/>
      <c r="G30" s="56"/>
      <c r="H30" s="1"/>
      <c r="I30" s="1"/>
      <c r="J30" s="1"/>
      <c r="K30" s="1"/>
      <c r="L30" s="1"/>
      <c r="M30" s="1"/>
      <c r="N30" s="1"/>
      <c r="O30" s="1"/>
      <c r="P30" s="1"/>
      <c r="Q30" s="1"/>
      <c r="R30" s="1"/>
      <c r="S30" s="1"/>
      <c r="T30" s="1"/>
      <c r="U30" s="1"/>
      <c r="V30" s="1"/>
      <c r="W30" s="1"/>
      <c r="X30" s="1"/>
      <c r="Y30" s="1"/>
      <c r="Z30" s="1"/>
    </row>
    <row r="31" spans="1:26" ht="32">
      <c r="A31" s="3" t="s">
        <v>164</v>
      </c>
      <c r="B31" s="4" t="s">
        <v>271</v>
      </c>
      <c r="C31" s="4" t="s">
        <v>187</v>
      </c>
      <c r="D31" s="4" t="s">
        <v>188</v>
      </c>
      <c r="E31" s="4" t="s">
        <v>272</v>
      </c>
      <c r="F31" s="4" t="s">
        <v>273</v>
      </c>
      <c r="G31" s="4" t="s">
        <v>274</v>
      </c>
      <c r="H31" s="1"/>
      <c r="I31" s="1"/>
      <c r="J31" s="1"/>
      <c r="K31" s="1"/>
      <c r="L31" s="1"/>
      <c r="M31" s="1"/>
      <c r="N31" s="1"/>
      <c r="O31" s="1"/>
      <c r="P31" s="1"/>
      <c r="Q31" s="1"/>
      <c r="R31" s="1"/>
      <c r="S31" s="1"/>
      <c r="T31" s="1"/>
      <c r="U31" s="1"/>
      <c r="V31" s="1"/>
      <c r="W31" s="1"/>
      <c r="X31" s="1"/>
      <c r="Y31" s="1"/>
      <c r="Z31" s="1"/>
    </row>
    <row r="32" spans="1:26" ht="32">
      <c r="A32" s="3" t="s">
        <v>162</v>
      </c>
      <c r="B32" s="4" t="s">
        <v>275</v>
      </c>
      <c r="C32" s="4" t="s">
        <v>187</v>
      </c>
      <c r="D32" s="4" t="s">
        <v>188</v>
      </c>
      <c r="E32" s="4" t="s">
        <v>272</v>
      </c>
      <c r="F32" s="4" t="s">
        <v>273</v>
      </c>
      <c r="G32" s="4" t="s">
        <v>276</v>
      </c>
      <c r="H32" s="1"/>
      <c r="I32" s="1"/>
      <c r="J32" s="1"/>
      <c r="K32" s="1"/>
      <c r="L32" s="1"/>
      <c r="M32" s="1"/>
      <c r="N32" s="1"/>
      <c r="O32" s="1"/>
      <c r="P32" s="1"/>
      <c r="Q32" s="1"/>
      <c r="R32" s="1"/>
      <c r="S32" s="1"/>
      <c r="T32" s="1"/>
      <c r="U32" s="1"/>
      <c r="V32" s="1"/>
      <c r="W32" s="1"/>
      <c r="X32" s="1"/>
      <c r="Y32" s="1"/>
      <c r="Z32" s="1"/>
    </row>
    <row r="33" spans="1:26" ht="32">
      <c r="A33" s="3" t="s">
        <v>163</v>
      </c>
      <c r="B33" s="4" t="s">
        <v>277</v>
      </c>
      <c r="C33" s="4" t="s">
        <v>187</v>
      </c>
      <c r="D33" s="4" t="s">
        <v>188</v>
      </c>
      <c r="E33" s="4" t="s">
        <v>272</v>
      </c>
      <c r="F33" s="4" t="s">
        <v>273</v>
      </c>
      <c r="G33" s="4" t="s">
        <v>278</v>
      </c>
      <c r="H33" s="1"/>
      <c r="I33" s="1"/>
      <c r="J33" s="1"/>
      <c r="K33" s="1"/>
      <c r="L33" s="1"/>
      <c r="M33" s="1"/>
      <c r="N33" s="1"/>
      <c r="O33" s="1"/>
      <c r="P33" s="1"/>
      <c r="Q33" s="1"/>
      <c r="R33" s="1"/>
      <c r="S33" s="1"/>
      <c r="T33" s="1"/>
      <c r="U33" s="1"/>
      <c r="V33" s="1"/>
      <c r="W33" s="1"/>
      <c r="X33" s="1"/>
      <c r="Y33" s="1"/>
      <c r="Z33" s="1"/>
    </row>
    <row r="34" spans="1:26" ht="32">
      <c r="A34" s="3" t="s">
        <v>279</v>
      </c>
      <c r="B34" s="4" t="s">
        <v>280</v>
      </c>
      <c r="C34" s="4" t="s">
        <v>187</v>
      </c>
      <c r="D34" s="4" t="s">
        <v>188</v>
      </c>
      <c r="E34" s="4" t="s">
        <v>272</v>
      </c>
      <c r="F34" s="4" t="s">
        <v>200</v>
      </c>
      <c r="G34" s="4" t="s">
        <v>281</v>
      </c>
      <c r="H34" s="1"/>
      <c r="I34" s="1"/>
      <c r="J34" s="1"/>
      <c r="K34" s="1"/>
      <c r="L34" s="1"/>
      <c r="M34" s="1"/>
      <c r="N34" s="1"/>
      <c r="O34" s="1"/>
      <c r="P34" s="1"/>
      <c r="Q34" s="1"/>
      <c r="R34" s="1"/>
      <c r="S34" s="1"/>
      <c r="T34" s="1"/>
      <c r="U34" s="1"/>
      <c r="V34" s="1"/>
      <c r="W34" s="1"/>
      <c r="X34" s="1"/>
      <c r="Y34" s="1"/>
      <c r="Z34" s="1"/>
    </row>
    <row r="35" spans="1:26" ht="16">
      <c r="A35" s="3" t="s">
        <v>282</v>
      </c>
      <c r="B35" s="4" t="s">
        <v>283</v>
      </c>
      <c r="C35" s="4" t="s">
        <v>203</v>
      </c>
      <c r="D35" s="4" t="s">
        <v>175</v>
      </c>
      <c r="E35" s="4" t="s">
        <v>284</v>
      </c>
      <c r="F35" s="4" t="s">
        <v>285</v>
      </c>
      <c r="G35" s="4" t="s">
        <v>286</v>
      </c>
      <c r="H35" s="1"/>
      <c r="I35" s="1"/>
      <c r="J35" s="1"/>
      <c r="K35" s="1"/>
      <c r="L35" s="1"/>
      <c r="M35" s="1"/>
      <c r="N35" s="1"/>
      <c r="O35" s="1"/>
      <c r="P35" s="1"/>
      <c r="Q35" s="1"/>
      <c r="R35" s="1"/>
      <c r="S35" s="1"/>
      <c r="T35" s="1"/>
      <c r="U35" s="1"/>
      <c r="V35" s="1"/>
      <c r="W35" s="1"/>
      <c r="X35" s="1"/>
      <c r="Y35" s="1"/>
      <c r="Z35" s="1"/>
    </row>
    <row r="36" spans="1:26" ht="16">
      <c r="A36" s="3" t="s">
        <v>287</v>
      </c>
      <c r="B36" s="4" t="s">
        <v>288</v>
      </c>
      <c r="C36" s="4" t="s">
        <v>187</v>
      </c>
      <c r="D36" s="4" t="s">
        <v>188</v>
      </c>
      <c r="E36" s="4" t="s">
        <v>284</v>
      </c>
      <c r="F36" s="4" t="s">
        <v>289</v>
      </c>
      <c r="G36" s="4" t="s">
        <v>290</v>
      </c>
      <c r="H36" s="1"/>
      <c r="I36" s="1"/>
      <c r="J36" s="1"/>
      <c r="K36" s="1"/>
      <c r="L36" s="1"/>
      <c r="M36" s="1"/>
      <c r="N36" s="1"/>
      <c r="O36" s="1"/>
      <c r="P36" s="1"/>
      <c r="Q36" s="1"/>
      <c r="R36" s="1"/>
      <c r="S36" s="1"/>
      <c r="T36" s="1"/>
      <c r="U36" s="1"/>
      <c r="V36" s="1"/>
      <c r="W36" s="1"/>
      <c r="X36" s="1"/>
      <c r="Y36" s="1"/>
      <c r="Z36" s="1"/>
    </row>
    <row r="37" spans="1:26" ht="32">
      <c r="A37" s="3" t="s">
        <v>165</v>
      </c>
      <c r="B37" s="4" t="s">
        <v>291</v>
      </c>
      <c r="C37" s="4" t="s">
        <v>187</v>
      </c>
      <c r="D37" s="4" t="s">
        <v>188</v>
      </c>
      <c r="E37" s="4" t="s">
        <v>284</v>
      </c>
      <c r="F37" s="4" t="s">
        <v>292</v>
      </c>
      <c r="G37" s="4" t="s">
        <v>293</v>
      </c>
      <c r="H37" s="1"/>
      <c r="I37" s="1"/>
      <c r="J37" s="1"/>
      <c r="K37" s="1"/>
      <c r="L37" s="1"/>
      <c r="M37" s="1"/>
      <c r="N37" s="1"/>
      <c r="O37" s="1"/>
      <c r="P37" s="1"/>
      <c r="Q37" s="1"/>
      <c r="R37" s="1"/>
      <c r="S37" s="1"/>
      <c r="T37" s="1"/>
      <c r="U37" s="1"/>
      <c r="V37" s="1"/>
      <c r="W37" s="1"/>
      <c r="X37" s="1"/>
      <c r="Y37" s="1"/>
      <c r="Z37" s="1"/>
    </row>
    <row r="38" spans="1:26" ht="32">
      <c r="A38" s="3" t="s">
        <v>294</v>
      </c>
      <c r="B38" s="4" t="s">
        <v>295</v>
      </c>
      <c r="C38" s="4" t="s">
        <v>218</v>
      </c>
      <c r="D38" s="4" t="s">
        <v>188</v>
      </c>
      <c r="E38" s="4" t="s">
        <v>294</v>
      </c>
      <c r="F38" s="4" t="s">
        <v>296</v>
      </c>
      <c r="G38" s="4" t="s">
        <v>297</v>
      </c>
      <c r="H38" s="1"/>
      <c r="I38" s="1"/>
      <c r="J38" s="1"/>
      <c r="K38" s="1"/>
      <c r="L38" s="1"/>
      <c r="M38" s="1"/>
      <c r="N38" s="1"/>
      <c r="O38" s="1"/>
      <c r="P38" s="1"/>
      <c r="Q38" s="1"/>
      <c r="R38" s="1"/>
      <c r="S38" s="1"/>
      <c r="T38" s="1"/>
      <c r="U38" s="1"/>
      <c r="V38" s="1"/>
      <c r="W38" s="1"/>
      <c r="X38" s="1"/>
      <c r="Y38" s="1"/>
      <c r="Z38" s="1"/>
    </row>
    <row r="39" spans="1:26" ht="32">
      <c r="A39" s="3" t="s">
        <v>298</v>
      </c>
      <c r="B39" s="4" t="s">
        <v>299</v>
      </c>
      <c r="C39" s="4" t="s">
        <v>300</v>
      </c>
      <c r="D39" s="4" t="s">
        <v>301</v>
      </c>
      <c r="E39" s="4" t="s">
        <v>298</v>
      </c>
      <c r="F39" s="4" t="s">
        <v>302</v>
      </c>
      <c r="G39" s="4" t="s">
        <v>303</v>
      </c>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sheetData>
  <mergeCells count="1">
    <mergeCell ref="A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Z200"/>
  <sheetViews>
    <sheetView workbookViewId="0">
      <selection activeCell="B7" sqref="B7"/>
    </sheetView>
  </sheetViews>
  <sheetFormatPr baseColWidth="10" defaultColWidth="8.83203125" defaultRowHeight="15"/>
  <cols>
    <col min="1" max="1" width="17.83203125" bestFit="1" customWidth="1"/>
    <col min="2" max="2" width="26" bestFit="1" customWidth="1"/>
    <col min="3" max="3" width="11" customWidth="1"/>
    <col min="4" max="4" width="18" customWidth="1"/>
    <col min="5" max="5" width="17" customWidth="1"/>
    <col min="6" max="7" width="13" customWidth="1"/>
    <col min="8" max="13" width="10" customWidth="1"/>
    <col min="14" max="14" width="13.5" customWidth="1"/>
    <col min="15" max="19" width="10" customWidth="1"/>
    <col min="20" max="26" width="15" customWidth="1"/>
  </cols>
  <sheetData>
    <row r="1" spans="1:52" ht="37.25" customHeight="1">
      <c r="A1" s="111" t="s">
        <v>304</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
      <c r="AG1" s="1"/>
      <c r="AH1" s="1"/>
      <c r="AI1" s="1"/>
      <c r="AJ1" s="1"/>
      <c r="AK1" s="1"/>
      <c r="AL1" s="1"/>
      <c r="AM1" s="1"/>
      <c r="AN1" s="1"/>
      <c r="AO1" s="1"/>
      <c r="AP1" s="1"/>
      <c r="AQ1" s="1"/>
      <c r="AR1" s="1"/>
      <c r="AS1" s="1"/>
      <c r="AT1" s="1"/>
      <c r="AU1" s="1"/>
      <c r="AV1" s="1"/>
      <c r="AW1" s="1"/>
      <c r="AX1" s="1"/>
      <c r="AY1" s="1"/>
      <c r="AZ1" s="1"/>
    </row>
    <row r="2" spans="1:5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112" t="s">
        <v>305</v>
      </c>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c r="AC3" s="112"/>
      <c r="AD3" s="112"/>
      <c r="AE3" s="112"/>
      <c r="AF3" s="1"/>
      <c r="AG3" s="1"/>
      <c r="AH3" s="1"/>
      <c r="AI3" s="1"/>
      <c r="AJ3" s="1"/>
      <c r="AK3" s="1"/>
      <c r="AL3" s="1"/>
      <c r="AM3" s="1"/>
      <c r="AN3" s="1"/>
      <c r="AO3" s="1"/>
      <c r="AP3" s="1"/>
      <c r="AQ3" s="1"/>
      <c r="AR3" s="1"/>
      <c r="AS3" s="1"/>
      <c r="AT3" s="1"/>
      <c r="AU3" s="1"/>
      <c r="AV3" s="1"/>
      <c r="AW3" s="1"/>
      <c r="AX3" s="1"/>
      <c r="AY3" s="1"/>
      <c r="AZ3" s="1"/>
    </row>
    <row r="4"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26.75" customHeight="1">
      <c r="A5" s="90" t="s">
        <v>306</v>
      </c>
      <c r="B5" s="90"/>
      <c r="C5" s="90"/>
      <c r="D5" s="90"/>
      <c r="E5" s="90"/>
      <c r="F5" s="90"/>
      <c r="G5" s="90"/>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c r="A6" s="5" t="s">
        <v>307</v>
      </c>
      <c r="B6" s="39">
        <v>0.15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c r="A7" s="5" t="s">
        <v>308</v>
      </c>
      <c r="B7" s="39">
        <v>0.03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c r="A8" s="5" t="s">
        <v>309</v>
      </c>
      <c r="B8" s="8" t="s">
        <v>187</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c r="A9" s="5" t="s">
        <v>107</v>
      </c>
      <c r="B9" s="8" t="s">
        <v>310</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ht="48">
      <c r="A12" s="38" t="s">
        <v>60</v>
      </c>
      <c r="B12" s="38" t="s">
        <v>311</v>
      </c>
      <c r="C12" s="38" t="s">
        <v>312</v>
      </c>
      <c r="D12" s="38" t="s">
        <v>313</v>
      </c>
      <c r="E12" s="38" t="s">
        <v>314</v>
      </c>
      <c r="F12" s="38" t="s">
        <v>315</v>
      </c>
      <c r="G12" s="38" t="s">
        <v>316</v>
      </c>
      <c r="H12" s="38" t="s">
        <v>317</v>
      </c>
      <c r="I12" s="38" t="s">
        <v>318</v>
      </c>
      <c r="J12" s="38" t="s">
        <v>319</v>
      </c>
      <c r="K12" s="38" t="s">
        <v>320</v>
      </c>
      <c r="L12" s="38" t="s">
        <v>321</v>
      </c>
      <c r="M12" s="38" t="s">
        <v>322</v>
      </c>
      <c r="N12" s="38" t="s">
        <v>323</v>
      </c>
      <c r="O12" s="38" t="s">
        <v>324</v>
      </c>
      <c r="P12" s="38" t="s">
        <v>325</v>
      </c>
      <c r="Q12" s="38" t="s">
        <v>326</v>
      </c>
      <c r="R12" s="38" t="s">
        <v>327</v>
      </c>
      <c r="S12" s="38" t="s">
        <v>328</v>
      </c>
      <c r="T12" s="38" t="s">
        <v>329</v>
      </c>
      <c r="U12" s="38" t="s">
        <v>330</v>
      </c>
      <c r="V12" s="38" t="s">
        <v>331</v>
      </c>
      <c r="W12" s="38" t="s">
        <v>332</v>
      </c>
      <c r="X12" s="38" t="s">
        <v>333</v>
      </c>
      <c r="Y12" s="38" t="s">
        <v>334</v>
      </c>
      <c r="Z12" s="38" t="s">
        <v>335</v>
      </c>
      <c r="AA12" s="38" t="s">
        <v>336</v>
      </c>
      <c r="AB12" s="38" t="s">
        <v>337</v>
      </c>
      <c r="AC12" s="38" t="s">
        <v>338</v>
      </c>
      <c r="AD12" s="38" t="s">
        <v>339</v>
      </c>
      <c r="AE12" s="38" t="s">
        <v>340</v>
      </c>
      <c r="AF12" s="1"/>
      <c r="AG12" s="1"/>
      <c r="AH12" s="1"/>
      <c r="AI12" s="1"/>
      <c r="AJ12" s="1"/>
      <c r="AK12" s="1"/>
      <c r="AL12" s="1"/>
      <c r="AM12" s="1"/>
      <c r="AN12" s="1"/>
      <c r="AO12" s="1"/>
      <c r="AP12" s="1"/>
      <c r="AQ12" s="1"/>
      <c r="AR12" s="1"/>
      <c r="AS12" s="1"/>
      <c r="AT12" s="1"/>
      <c r="AU12" s="1"/>
      <c r="AV12" s="1"/>
      <c r="AW12" s="1"/>
      <c r="AX12" s="1"/>
      <c r="AY12" s="1"/>
      <c r="AZ12" s="1"/>
    </row>
    <row r="13" spans="1:52">
      <c r="A13" s="8">
        <f t="shared" ref="A13:A32" si="0">S13*$D13*(1+$B$7)*(1+$B$6)/12</f>
        <v>68.700999999999993</v>
      </c>
      <c r="B13" s="8" t="s">
        <v>341</v>
      </c>
      <c r="C13" s="13">
        <v>16</v>
      </c>
      <c r="D13" s="40">
        <v>43.5</v>
      </c>
      <c r="E13" s="11">
        <v>0.15</v>
      </c>
      <c r="F13" s="13">
        <v>1</v>
      </c>
      <c r="G13" s="13">
        <v>1</v>
      </c>
      <c r="H13" s="13">
        <v>16</v>
      </c>
      <c r="I13" s="13">
        <v>16</v>
      </c>
      <c r="J13" s="13">
        <v>17</v>
      </c>
      <c r="K13" s="13">
        <v>17</v>
      </c>
      <c r="L13" s="13">
        <v>17</v>
      </c>
      <c r="M13" s="13">
        <v>16</v>
      </c>
      <c r="N13" s="13">
        <v>16</v>
      </c>
      <c r="O13" s="13">
        <v>16</v>
      </c>
      <c r="P13" s="13">
        <v>16</v>
      </c>
      <c r="Q13" s="13">
        <v>16</v>
      </c>
      <c r="R13" s="13">
        <v>16</v>
      </c>
      <c r="S13" s="13">
        <v>16</v>
      </c>
      <c r="T13" s="15">
        <f t="shared" ref="T13:T32" si="1">H13*$D13*(1+$B$7)*(1+$B$6)/12</f>
        <v>68.700999999999993</v>
      </c>
      <c r="U13" s="15">
        <f t="shared" ref="U13:U32" si="2">I13*$D13*(1+$B$7)*(1+$B$6)/12</f>
        <v>68.700999999999993</v>
      </c>
      <c r="V13" s="15">
        <f t="shared" ref="V13:V32" si="3">J13*$D13*(1+$B$7)*(1+$B$6)/12</f>
        <v>72.994812500000009</v>
      </c>
      <c r="W13" s="15">
        <f t="shared" ref="W13:W32" si="4">K13*$D13*(1+$B$7)*(1+$B$6)/12</f>
        <v>72.994812500000009</v>
      </c>
      <c r="X13" s="15">
        <f t="shared" ref="X13:X32" si="5">L13*$D13*(1+$B$7)*(1+$B$6)/12</f>
        <v>72.994812500000009</v>
      </c>
      <c r="Y13" s="15">
        <f t="shared" ref="Y13:Y32" si="6">M13*$D13*(1+$B$7)*(1+$B$6)/12</f>
        <v>68.700999999999993</v>
      </c>
      <c r="Z13" s="15">
        <f t="shared" ref="Z13:Z32" si="7">N13*$D13*(1+$B$7)*(1+$B$6)/12</f>
        <v>68.700999999999993</v>
      </c>
      <c r="AA13" s="15">
        <f t="shared" ref="AA13:AA32" si="8">O13*$D13*(1+$B$7)*(1+$B$6)/12</f>
        <v>68.700999999999993</v>
      </c>
      <c r="AB13" s="15">
        <f t="shared" ref="AB13:AB32" si="9">P13*$D13*(1+$B$7)*(1+$B$6)/12</f>
        <v>68.700999999999993</v>
      </c>
      <c r="AC13" s="15">
        <f t="shared" ref="AC13:AC32" si="10">Q13*$D13*(1+$B$7)*(1+$B$6)/12</f>
        <v>68.700999999999993</v>
      </c>
      <c r="AD13" s="15">
        <f t="shared" ref="AD13:AD32" si="11">R13*$D13*(1+$B$7)*(1+$B$6)/12</f>
        <v>68.700999999999993</v>
      </c>
      <c r="AE13" s="15">
        <f t="shared" ref="AE13:AE32" si="12">S13*$D13*(1+$B$7)*(1+$B$6)/12</f>
        <v>68.700999999999993</v>
      </c>
      <c r="AF13" s="1"/>
      <c r="AG13" s="1"/>
      <c r="AH13" s="1"/>
      <c r="AI13" s="1"/>
      <c r="AJ13" s="1"/>
      <c r="AK13" s="1"/>
      <c r="AL13" s="1"/>
      <c r="AM13" s="1"/>
      <c r="AN13" s="1"/>
      <c r="AO13" s="1"/>
      <c r="AP13" s="1"/>
      <c r="AQ13" s="1"/>
      <c r="AR13" s="1"/>
      <c r="AS13" s="1"/>
      <c r="AT13" s="1"/>
      <c r="AU13" s="1"/>
      <c r="AV13" s="1"/>
      <c r="AW13" s="1"/>
      <c r="AX13" s="1"/>
      <c r="AY13" s="1"/>
      <c r="AZ13" s="1"/>
    </row>
    <row r="14" spans="1:52">
      <c r="A14" s="8">
        <f t="shared" si="0"/>
        <v>72.965199999999996</v>
      </c>
      <c r="B14" s="8" t="s">
        <v>342</v>
      </c>
      <c r="C14" s="13">
        <v>22</v>
      </c>
      <c r="D14" s="40">
        <v>35.200000000000003</v>
      </c>
      <c r="E14" s="11">
        <v>0.15</v>
      </c>
      <c r="F14" s="13">
        <v>0</v>
      </c>
      <c r="G14" s="13">
        <v>1</v>
      </c>
      <c r="H14" s="13">
        <v>22</v>
      </c>
      <c r="I14" s="13">
        <v>22</v>
      </c>
      <c r="J14" s="13">
        <v>22</v>
      </c>
      <c r="K14" s="13">
        <v>22</v>
      </c>
      <c r="L14" s="13">
        <v>22</v>
      </c>
      <c r="M14" s="13">
        <v>21</v>
      </c>
      <c r="N14" s="13">
        <v>21</v>
      </c>
      <c r="O14" s="13">
        <v>21</v>
      </c>
      <c r="P14" s="13">
        <v>21</v>
      </c>
      <c r="Q14" s="13">
        <v>21</v>
      </c>
      <c r="R14" s="13">
        <v>21</v>
      </c>
      <c r="S14" s="13">
        <v>21</v>
      </c>
      <c r="T14" s="15">
        <f t="shared" si="1"/>
        <v>76.439733333333336</v>
      </c>
      <c r="U14" s="15">
        <f t="shared" si="2"/>
        <v>76.439733333333336</v>
      </c>
      <c r="V14" s="15">
        <f t="shared" si="3"/>
        <v>76.439733333333336</v>
      </c>
      <c r="W14" s="15">
        <f t="shared" si="4"/>
        <v>76.439733333333336</v>
      </c>
      <c r="X14" s="15">
        <f t="shared" si="5"/>
        <v>76.439733333333336</v>
      </c>
      <c r="Y14" s="15">
        <f t="shared" si="6"/>
        <v>72.965199999999996</v>
      </c>
      <c r="Z14" s="15">
        <f t="shared" si="7"/>
        <v>72.965199999999996</v>
      </c>
      <c r="AA14" s="15">
        <f t="shared" si="8"/>
        <v>72.965199999999996</v>
      </c>
      <c r="AB14" s="15">
        <f t="shared" si="9"/>
        <v>72.965199999999996</v>
      </c>
      <c r="AC14" s="15">
        <f t="shared" si="10"/>
        <v>72.965199999999996</v>
      </c>
      <c r="AD14" s="15">
        <f t="shared" si="11"/>
        <v>72.965199999999996</v>
      </c>
      <c r="AE14" s="15">
        <f t="shared" si="12"/>
        <v>72.965199999999996</v>
      </c>
      <c r="AF14" s="1"/>
      <c r="AG14" s="1"/>
      <c r="AH14" s="1"/>
      <c r="AI14" s="1"/>
      <c r="AJ14" s="1"/>
      <c r="AK14" s="1"/>
      <c r="AL14" s="1"/>
      <c r="AM14" s="1"/>
      <c r="AN14" s="1"/>
      <c r="AO14" s="1"/>
      <c r="AP14" s="1"/>
      <c r="AQ14" s="1"/>
      <c r="AR14" s="1"/>
      <c r="AS14" s="1"/>
      <c r="AT14" s="1"/>
      <c r="AU14" s="1"/>
      <c r="AV14" s="1"/>
      <c r="AW14" s="1"/>
      <c r="AX14" s="1"/>
      <c r="AY14" s="1"/>
      <c r="AZ14" s="1"/>
    </row>
    <row r="15" spans="1:52">
      <c r="A15" s="8">
        <f t="shared" si="0"/>
        <v>33.639800000000001</v>
      </c>
      <c r="B15" s="8" t="s">
        <v>343</v>
      </c>
      <c r="C15" s="13">
        <v>8</v>
      </c>
      <c r="D15" s="40">
        <v>42.6</v>
      </c>
      <c r="E15" s="11">
        <v>0.15</v>
      </c>
      <c r="F15" s="13">
        <v>0</v>
      </c>
      <c r="G15" s="13">
        <v>0</v>
      </c>
      <c r="H15" s="13">
        <v>8</v>
      </c>
      <c r="I15" s="13">
        <v>8</v>
      </c>
      <c r="J15" s="13">
        <v>8</v>
      </c>
      <c r="K15" s="13">
        <v>8</v>
      </c>
      <c r="L15" s="13">
        <v>8</v>
      </c>
      <c r="M15" s="13">
        <v>8</v>
      </c>
      <c r="N15" s="13">
        <v>8</v>
      </c>
      <c r="O15" s="13">
        <v>8</v>
      </c>
      <c r="P15" s="13">
        <v>8</v>
      </c>
      <c r="Q15" s="13">
        <v>8</v>
      </c>
      <c r="R15" s="13">
        <v>8</v>
      </c>
      <c r="S15" s="13">
        <v>8</v>
      </c>
      <c r="T15" s="15">
        <f t="shared" si="1"/>
        <v>33.639800000000001</v>
      </c>
      <c r="U15" s="15">
        <f t="shared" si="2"/>
        <v>33.639800000000001</v>
      </c>
      <c r="V15" s="15">
        <f t="shared" si="3"/>
        <v>33.639800000000001</v>
      </c>
      <c r="W15" s="15">
        <f t="shared" si="4"/>
        <v>33.639800000000001</v>
      </c>
      <c r="X15" s="15">
        <f t="shared" si="5"/>
        <v>33.639800000000001</v>
      </c>
      <c r="Y15" s="15">
        <f t="shared" si="6"/>
        <v>33.639800000000001</v>
      </c>
      <c r="Z15" s="15">
        <f t="shared" si="7"/>
        <v>33.639800000000001</v>
      </c>
      <c r="AA15" s="15">
        <f t="shared" si="8"/>
        <v>33.639800000000001</v>
      </c>
      <c r="AB15" s="15">
        <f t="shared" si="9"/>
        <v>33.639800000000001</v>
      </c>
      <c r="AC15" s="15">
        <f t="shared" si="10"/>
        <v>33.639800000000001</v>
      </c>
      <c r="AD15" s="15">
        <f t="shared" si="11"/>
        <v>33.639800000000001</v>
      </c>
      <c r="AE15" s="15">
        <f t="shared" si="12"/>
        <v>33.639800000000001</v>
      </c>
      <c r="AF15" s="1"/>
      <c r="AG15" s="1"/>
      <c r="AH15" s="1"/>
      <c r="AI15" s="1"/>
      <c r="AJ15" s="1"/>
      <c r="AK15" s="1"/>
      <c r="AL15" s="1"/>
      <c r="AM15" s="1"/>
      <c r="AN15" s="1"/>
      <c r="AO15" s="1"/>
      <c r="AP15" s="1"/>
      <c r="AQ15" s="1"/>
      <c r="AR15" s="1"/>
      <c r="AS15" s="1"/>
      <c r="AT15" s="1"/>
      <c r="AU15" s="1"/>
      <c r="AV15" s="1"/>
      <c r="AW15" s="1"/>
      <c r="AX15" s="1"/>
      <c r="AY15" s="1"/>
      <c r="AZ15" s="1"/>
    </row>
    <row r="16" spans="1:52">
      <c r="A16" s="8">
        <f t="shared" si="0"/>
        <v>40.19403333333333</v>
      </c>
      <c r="B16" s="8" t="s">
        <v>344</v>
      </c>
      <c r="C16" s="13">
        <v>7</v>
      </c>
      <c r="D16" s="40">
        <v>50.9</v>
      </c>
      <c r="E16" s="11">
        <v>0.15</v>
      </c>
      <c r="F16" s="13">
        <v>1</v>
      </c>
      <c r="G16" s="13">
        <v>0</v>
      </c>
      <c r="H16" s="13">
        <v>7</v>
      </c>
      <c r="I16" s="13">
        <v>7</v>
      </c>
      <c r="J16" s="13">
        <v>8</v>
      </c>
      <c r="K16" s="13">
        <v>8</v>
      </c>
      <c r="L16" s="13">
        <v>8</v>
      </c>
      <c r="M16" s="13">
        <v>8</v>
      </c>
      <c r="N16" s="13">
        <v>8</v>
      </c>
      <c r="O16" s="13">
        <v>8</v>
      </c>
      <c r="P16" s="13">
        <v>8</v>
      </c>
      <c r="Q16" s="13">
        <v>8</v>
      </c>
      <c r="R16" s="13">
        <v>8</v>
      </c>
      <c r="S16" s="13">
        <v>8</v>
      </c>
      <c r="T16" s="15">
        <f t="shared" si="1"/>
        <v>35.169779166666665</v>
      </c>
      <c r="U16" s="15">
        <f t="shared" si="2"/>
        <v>35.169779166666665</v>
      </c>
      <c r="V16" s="15">
        <f t="shared" si="3"/>
        <v>40.19403333333333</v>
      </c>
      <c r="W16" s="15">
        <f t="shared" si="4"/>
        <v>40.19403333333333</v>
      </c>
      <c r="X16" s="15">
        <f t="shared" si="5"/>
        <v>40.19403333333333</v>
      </c>
      <c r="Y16" s="15">
        <f t="shared" si="6"/>
        <v>40.19403333333333</v>
      </c>
      <c r="Z16" s="15">
        <f t="shared" si="7"/>
        <v>40.19403333333333</v>
      </c>
      <c r="AA16" s="15">
        <f t="shared" si="8"/>
        <v>40.19403333333333</v>
      </c>
      <c r="AB16" s="15">
        <f t="shared" si="9"/>
        <v>40.19403333333333</v>
      </c>
      <c r="AC16" s="15">
        <f t="shared" si="10"/>
        <v>40.19403333333333</v>
      </c>
      <c r="AD16" s="15">
        <f t="shared" si="11"/>
        <v>40.19403333333333</v>
      </c>
      <c r="AE16" s="15">
        <f t="shared" si="12"/>
        <v>40.19403333333333</v>
      </c>
      <c r="AF16" s="1"/>
      <c r="AG16" s="1"/>
      <c r="AH16" s="1"/>
      <c r="AI16" s="1"/>
      <c r="AJ16" s="1"/>
      <c r="AK16" s="1"/>
      <c r="AL16" s="1"/>
      <c r="AM16" s="1"/>
      <c r="AN16" s="1"/>
      <c r="AO16" s="1"/>
      <c r="AP16" s="1"/>
      <c r="AQ16" s="1"/>
      <c r="AR16" s="1"/>
      <c r="AS16" s="1"/>
      <c r="AT16" s="1"/>
      <c r="AU16" s="1"/>
      <c r="AV16" s="1"/>
      <c r="AW16" s="1"/>
      <c r="AX16" s="1"/>
      <c r="AY16" s="1"/>
      <c r="AZ16" s="1"/>
    </row>
    <row r="17" spans="1:52">
      <c r="A17" s="8">
        <f t="shared" si="0"/>
        <v>51.456654166666674</v>
      </c>
      <c r="B17" s="8" t="s">
        <v>341</v>
      </c>
      <c r="C17" s="13">
        <v>13</v>
      </c>
      <c r="D17" s="40">
        <v>40.1</v>
      </c>
      <c r="E17" s="11">
        <v>0.15</v>
      </c>
      <c r="F17" s="13">
        <v>1</v>
      </c>
      <c r="G17" s="13">
        <v>1</v>
      </c>
      <c r="H17" s="13">
        <v>13</v>
      </c>
      <c r="I17" s="13">
        <v>13</v>
      </c>
      <c r="J17" s="13">
        <v>14</v>
      </c>
      <c r="K17" s="13">
        <v>14</v>
      </c>
      <c r="L17" s="13">
        <v>14</v>
      </c>
      <c r="M17" s="13">
        <v>13</v>
      </c>
      <c r="N17" s="13">
        <v>13</v>
      </c>
      <c r="O17" s="13">
        <v>13</v>
      </c>
      <c r="P17" s="13">
        <v>13</v>
      </c>
      <c r="Q17" s="13">
        <v>13</v>
      </c>
      <c r="R17" s="13">
        <v>13</v>
      </c>
      <c r="S17" s="13">
        <v>13</v>
      </c>
      <c r="T17" s="15">
        <f t="shared" si="1"/>
        <v>51.456654166666674</v>
      </c>
      <c r="U17" s="15">
        <f t="shared" si="2"/>
        <v>51.456654166666674</v>
      </c>
      <c r="V17" s="15">
        <f t="shared" si="3"/>
        <v>55.414858333333321</v>
      </c>
      <c r="W17" s="15">
        <f t="shared" si="4"/>
        <v>55.414858333333321</v>
      </c>
      <c r="X17" s="15">
        <f t="shared" si="5"/>
        <v>55.414858333333321</v>
      </c>
      <c r="Y17" s="15">
        <f t="shared" si="6"/>
        <v>51.456654166666674</v>
      </c>
      <c r="Z17" s="15">
        <f t="shared" si="7"/>
        <v>51.456654166666674</v>
      </c>
      <c r="AA17" s="15">
        <f t="shared" si="8"/>
        <v>51.456654166666674</v>
      </c>
      <c r="AB17" s="15">
        <f t="shared" si="9"/>
        <v>51.456654166666674</v>
      </c>
      <c r="AC17" s="15">
        <f t="shared" si="10"/>
        <v>51.456654166666674</v>
      </c>
      <c r="AD17" s="15">
        <f t="shared" si="11"/>
        <v>51.456654166666674</v>
      </c>
      <c r="AE17" s="15">
        <f t="shared" si="12"/>
        <v>51.456654166666674</v>
      </c>
      <c r="AF17" s="1"/>
      <c r="AG17" s="1"/>
      <c r="AH17" s="1"/>
      <c r="AI17" s="1"/>
      <c r="AJ17" s="1"/>
      <c r="AK17" s="1"/>
      <c r="AL17" s="1"/>
      <c r="AM17" s="1"/>
      <c r="AN17" s="1"/>
      <c r="AO17" s="1"/>
      <c r="AP17" s="1"/>
      <c r="AQ17" s="1"/>
      <c r="AR17" s="1"/>
      <c r="AS17" s="1"/>
      <c r="AT17" s="1"/>
      <c r="AU17" s="1"/>
      <c r="AV17" s="1"/>
      <c r="AW17" s="1"/>
      <c r="AX17" s="1"/>
      <c r="AY17" s="1"/>
      <c r="AZ17" s="1"/>
    </row>
    <row r="18" spans="1:52">
      <c r="A18" s="8">
        <f t="shared" si="0"/>
        <v>63.785324999999979</v>
      </c>
      <c r="B18" s="8" t="s">
        <v>342</v>
      </c>
      <c r="C18" s="13">
        <v>19</v>
      </c>
      <c r="D18" s="40">
        <v>35.9</v>
      </c>
      <c r="E18" s="11">
        <v>0.15</v>
      </c>
      <c r="F18" s="13">
        <v>0</v>
      </c>
      <c r="G18" s="13">
        <v>1</v>
      </c>
      <c r="H18" s="13">
        <v>19</v>
      </c>
      <c r="I18" s="13">
        <v>19</v>
      </c>
      <c r="J18" s="13">
        <v>19</v>
      </c>
      <c r="K18" s="13">
        <v>19</v>
      </c>
      <c r="L18" s="13">
        <v>19</v>
      </c>
      <c r="M18" s="13">
        <v>18</v>
      </c>
      <c r="N18" s="13">
        <v>18</v>
      </c>
      <c r="O18" s="13">
        <v>18</v>
      </c>
      <c r="P18" s="13">
        <v>18</v>
      </c>
      <c r="Q18" s="13">
        <v>18</v>
      </c>
      <c r="R18" s="13">
        <v>18</v>
      </c>
      <c r="S18" s="13">
        <v>18</v>
      </c>
      <c r="T18" s="15">
        <f t="shared" si="1"/>
        <v>67.328954166666662</v>
      </c>
      <c r="U18" s="15">
        <f t="shared" si="2"/>
        <v>67.328954166666662</v>
      </c>
      <c r="V18" s="15">
        <f t="shared" si="3"/>
        <v>67.328954166666662</v>
      </c>
      <c r="W18" s="15">
        <f t="shared" si="4"/>
        <v>67.328954166666662</v>
      </c>
      <c r="X18" s="15">
        <f t="shared" si="5"/>
        <v>67.328954166666662</v>
      </c>
      <c r="Y18" s="15">
        <f t="shared" si="6"/>
        <v>63.785324999999979</v>
      </c>
      <c r="Z18" s="15">
        <f t="shared" si="7"/>
        <v>63.785324999999979</v>
      </c>
      <c r="AA18" s="15">
        <f t="shared" si="8"/>
        <v>63.785324999999979</v>
      </c>
      <c r="AB18" s="15">
        <f t="shared" si="9"/>
        <v>63.785324999999979</v>
      </c>
      <c r="AC18" s="15">
        <f t="shared" si="10"/>
        <v>63.785324999999979</v>
      </c>
      <c r="AD18" s="15">
        <f t="shared" si="11"/>
        <v>63.785324999999979</v>
      </c>
      <c r="AE18" s="15">
        <f t="shared" si="12"/>
        <v>63.785324999999979</v>
      </c>
      <c r="AF18" s="1"/>
      <c r="AG18" s="1"/>
      <c r="AH18" s="1"/>
      <c r="AI18" s="1"/>
      <c r="AJ18" s="1"/>
      <c r="AK18" s="1"/>
      <c r="AL18" s="1"/>
      <c r="AM18" s="1"/>
      <c r="AN18" s="1"/>
      <c r="AO18" s="1"/>
      <c r="AP18" s="1"/>
      <c r="AQ18" s="1"/>
      <c r="AR18" s="1"/>
      <c r="AS18" s="1"/>
      <c r="AT18" s="1"/>
      <c r="AU18" s="1"/>
      <c r="AV18" s="1"/>
      <c r="AW18" s="1"/>
      <c r="AX18" s="1"/>
      <c r="AY18" s="1"/>
      <c r="AZ18" s="1"/>
    </row>
    <row r="19" spans="1:52">
      <c r="A19" s="8">
        <f t="shared" si="0"/>
        <v>30.609454166666662</v>
      </c>
      <c r="B19" s="8" t="s">
        <v>343</v>
      </c>
      <c r="C19" s="13">
        <v>7</v>
      </c>
      <c r="D19" s="40">
        <v>44.3</v>
      </c>
      <c r="E19" s="11">
        <v>0.15</v>
      </c>
      <c r="F19" s="13">
        <v>0</v>
      </c>
      <c r="G19" s="13">
        <v>0</v>
      </c>
      <c r="H19" s="13">
        <v>7</v>
      </c>
      <c r="I19" s="13">
        <v>7</v>
      </c>
      <c r="J19" s="13">
        <v>7</v>
      </c>
      <c r="K19" s="13">
        <v>7</v>
      </c>
      <c r="L19" s="13">
        <v>7</v>
      </c>
      <c r="M19" s="13">
        <v>7</v>
      </c>
      <c r="N19" s="13">
        <v>7</v>
      </c>
      <c r="O19" s="13">
        <v>7</v>
      </c>
      <c r="P19" s="13">
        <v>7</v>
      </c>
      <c r="Q19" s="13">
        <v>7</v>
      </c>
      <c r="R19" s="13">
        <v>7</v>
      </c>
      <c r="S19" s="13">
        <v>7</v>
      </c>
      <c r="T19" s="15">
        <f t="shared" si="1"/>
        <v>30.609454166666662</v>
      </c>
      <c r="U19" s="15">
        <f t="shared" si="2"/>
        <v>30.609454166666662</v>
      </c>
      <c r="V19" s="15">
        <f t="shared" si="3"/>
        <v>30.609454166666662</v>
      </c>
      <c r="W19" s="15">
        <f t="shared" si="4"/>
        <v>30.609454166666662</v>
      </c>
      <c r="X19" s="15">
        <f t="shared" si="5"/>
        <v>30.609454166666662</v>
      </c>
      <c r="Y19" s="15">
        <f t="shared" si="6"/>
        <v>30.609454166666662</v>
      </c>
      <c r="Z19" s="15">
        <f t="shared" si="7"/>
        <v>30.609454166666662</v>
      </c>
      <c r="AA19" s="15">
        <f t="shared" si="8"/>
        <v>30.609454166666662</v>
      </c>
      <c r="AB19" s="15">
        <f t="shared" si="9"/>
        <v>30.609454166666662</v>
      </c>
      <c r="AC19" s="15">
        <f t="shared" si="10"/>
        <v>30.609454166666662</v>
      </c>
      <c r="AD19" s="15">
        <f t="shared" si="11"/>
        <v>30.609454166666662</v>
      </c>
      <c r="AE19" s="15">
        <f t="shared" si="12"/>
        <v>30.609454166666662</v>
      </c>
      <c r="AF19" s="1"/>
      <c r="AG19" s="1"/>
      <c r="AH19" s="1"/>
      <c r="AI19" s="1"/>
      <c r="AJ19" s="1"/>
      <c r="AK19" s="1"/>
      <c r="AL19" s="1"/>
      <c r="AM19" s="1"/>
      <c r="AN19" s="1"/>
      <c r="AO19" s="1"/>
      <c r="AP19" s="1"/>
      <c r="AQ19" s="1"/>
      <c r="AR19" s="1"/>
      <c r="AS19" s="1"/>
      <c r="AT19" s="1"/>
      <c r="AU19" s="1"/>
      <c r="AV19" s="1"/>
      <c r="AW19" s="1"/>
      <c r="AX19" s="1"/>
      <c r="AY19" s="1"/>
      <c r="AZ19" s="1"/>
    </row>
    <row r="20" spans="1:52">
      <c r="A20" s="8">
        <f t="shared" si="0"/>
        <v>34.340629166666666</v>
      </c>
      <c r="B20" s="8" t="s">
        <v>344</v>
      </c>
      <c r="C20" s="13">
        <v>6</v>
      </c>
      <c r="D20" s="40">
        <v>49.7</v>
      </c>
      <c r="E20" s="11">
        <v>0.15</v>
      </c>
      <c r="F20" s="13">
        <v>1</v>
      </c>
      <c r="G20" s="13">
        <v>0</v>
      </c>
      <c r="H20" s="13">
        <v>6</v>
      </c>
      <c r="I20" s="13">
        <v>6</v>
      </c>
      <c r="J20" s="13">
        <v>7</v>
      </c>
      <c r="K20" s="13">
        <v>7</v>
      </c>
      <c r="L20" s="13">
        <v>7</v>
      </c>
      <c r="M20" s="13">
        <v>7</v>
      </c>
      <c r="N20" s="13">
        <v>7</v>
      </c>
      <c r="O20" s="13">
        <v>7</v>
      </c>
      <c r="P20" s="13">
        <v>7</v>
      </c>
      <c r="Q20" s="13">
        <v>7</v>
      </c>
      <c r="R20" s="13">
        <v>7</v>
      </c>
      <c r="S20" s="13">
        <v>7</v>
      </c>
      <c r="T20" s="15">
        <f t="shared" si="1"/>
        <v>29.434825000000004</v>
      </c>
      <c r="U20" s="15">
        <f t="shared" si="2"/>
        <v>29.434825000000004</v>
      </c>
      <c r="V20" s="15">
        <f t="shared" si="3"/>
        <v>34.340629166666666</v>
      </c>
      <c r="W20" s="15">
        <f t="shared" si="4"/>
        <v>34.340629166666666</v>
      </c>
      <c r="X20" s="15">
        <f t="shared" si="5"/>
        <v>34.340629166666666</v>
      </c>
      <c r="Y20" s="15">
        <f t="shared" si="6"/>
        <v>34.340629166666666</v>
      </c>
      <c r="Z20" s="15">
        <f t="shared" si="7"/>
        <v>34.340629166666666</v>
      </c>
      <c r="AA20" s="15">
        <f t="shared" si="8"/>
        <v>34.340629166666666</v>
      </c>
      <c r="AB20" s="15">
        <f t="shared" si="9"/>
        <v>34.340629166666666</v>
      </c>
      <c r="AC20" s="15">
        <f t="shared" si="10"/>
        <v>34.340629166666666</v>
      </c>
      <c r="AD20" s="15">
        <f t="shared" si="11"/>
        <v>34.340629166666666</v>
      </c>
      <c r="AE20" s="15">
        <f t="shared" si="12"/>
        <v>34.340629166666666</v>
      </c>
      <c r="AF20" s="1"/>
      <c r="AG20" s="1"/>
      <c r="AH20" s="1"/>
      <c r="AI20" s="1"/>
      <c r="AJ20" s="1"/>
      <c r="AK20" s="1"/>
      <c r="AL20" s="1"/>
      <c r="AM20" s="1"/>
      <c r="AN20" s="1"/>
      <c r="AO20" s="1"/>
      <c r="AP20" s="1"/>
      <c r="AQ20" s="1"/>
      <c r="AR20" s="1"/>
      <c r="AS20" s="1"/>
      <c r="AT20" s="1"/>
      <c r="AU20" s="1"/>
      <c r="AV20" s="1"/>
      <c r="AW20" s="1"/>
      <c r="AX20" s="1"/>
      <c r="AY20" s="1"/>
      <c r="AZ20" s="1"/>
    </row>
    <row r="21" spans="1:52">
      <c r="A21" s="8">
        <f t="shared" si="0"/>
        <v>47.616900000000008</v>
      </c>
      <c r="B21" s="8" t="s">
        <v>341</v>
      </c>
      <c r="C21" s="13">
        <v>12</v>
      </c>
      <c r="D21" s="40">
        <v>40.200000000000003</v>
      </c>
      <c r="E21" s="11">
        <v>0.15</v>
      </c>
      <c r="F21" s="13">
        <v>1</v>
      </c>
      <c r="G21" s="13">
        <v>1</v>
      </c>
      <c r="H21" s="13">
        <v>12</v>
      </c>
      <c r="I21" s="13">
        <v>12</v>
      </c>
      <c r="J21" s="13">
        <v>13</v>
      </c>
      <c r="K21" s="13">
        <v>13</v>
      </c>
      <c r="L21" s="13">
        <v>13</v>
      </c>
      <c r="M21" s="13">
        <v>12</v>
      </c>
      <c r="N21" s="13">
        <v>12</v>
      </c>
      <c r="O21" s="13">
        <v>12</v>
      </c>
      <c r="P21" s="13">
        <v>12</v>
      </c>
      <c r="Q21" s="13">
        <v>12</v>
      </c>
      <c r="R21" s="13">
        <v>12</v>
      </c>
      <c r="S21" s="13">
        <v>12</v>
      </c>
      <c r="T21" s="15">
        <f t="shared" si="1"/>
        <v>47.616900000000008</v>
      </c>
      <c r="U21" s="15">
        <f t="shared" si="2"/>
        <v>47.616900000000008</v>
      </c>
      <c r="V21" s="15">
        <f t="shared" si="3"/>
        <v>51.584974999999993</v>
      </c>
      <c r="W21" s="15">
        <f t="shared" si="4"/>
        <v>51.584974999999993</v>
      </c>
      <c r="X21" s="15">
        <f t="shared" si="5"/>
        <v>51.584974999999993</v>
      </c>
      <c r="Y21" s="15">
        <f t="shared" si="6"/>
        <v>47.616900000000008</v>
      </c>
      <c r="Z21" s="15">
        <f t="shared" si="7"/>
        <v>47.616900000000008</v>
      </c>
      <c r="AA21" s="15">
        <f t="shared" si="8"/>
        <v>47.616900000000008</v>
      </c>
      <c r="AB21" s="15">
        <f t="shared" si="9"/>
        <v>47.616900000000008</v>
      </c>
      <c r="AC21" s="15">
        <f t="shared" si="10"/>
        <v>47.616900000000008</v>
      </c>
      <c r="AD21" s="15">
        <f t="shared" si="11"/>
        <v>47.616900000000008</v>
      </c>
      <c r="AE21" s="15">
        <f t="shared" si="12"/>
        <v>47.616900000000008</v>
      </c>
      <c r="AF21" s="1"/>
      <c r="AG21" s="1"/>
      <c r="AH21" s="1"/>
      <c r="AI21" s="1"/>
      <c r="AJ21" s="1"/>
      <c r="AK21" s="1"/>
      <c r="AL21" s="1"/>
      <c r="AM21" s="1"/>
      <c r="AN21" s="1"/>
      <c r="AO21" s="1"/>
      <c r="AP21" s="1"/>
      <c r="AQ21" s="1"/>
      <c r="AR21" s="1"/>
      <c r="AS21" s="1"/>
      <c r="AT21" s="1"/>
      <c r="AU21" s="1"/>
      <c r="AV21" s="1"/>
      <c r="AW21" s="1"/>
      <c r="AX21" s="1"/>
      <c r="AY21" s="1"/>
      <c r="AZ21" s="1"/>
    </row>
    <row r="22" spans="1:52">
      <c r="A22" s="8">
        <f t="shared" si="0"/>
        <v>50.578149999999994</v>
      </c>
      <c r="B22" s="8" t="s">
        <v>342</v>
      </c>
      <c r="C22" s="13">
        <v>14</v>
      </c>
      <c r="D22" s="40">
        <v>36.6</v>
      </c>
      <c r="E22" s="11">
        <v>0.15</v>
      </c>
      <c r="F22" s="13">
        <v>1</v>
      </c>
      <c r="G22" s="13">
        <v>1</v>
      </c>
      <c r="H22" s="13">
        <v>14</v>
      </c>
      <c r="I22" s="13">
        <v>14</v>
      </c>
      <c r="J22" s="13">
        <v>15</v>
      </c>
      <c r="K22" s="13">
        <v>15</v>
      </c>
      <c r="L22" s="13">
        <v>15</v>
      </c>
      <c r="M22" s="13">
        <v>14</v>
      </c>
      <c r="N22" s="13">
        <v>14</v>
      </c>
      <c r="O22" s="13">
        <v>14</v>
      </c>
      <c r="P22" s="13">
        <v>14</v>
      </c>
      <c r="Q22" s="13">
        <v>14</v>
      </c>
      <c r="R22" s="13">
        <v>14</v>
      </c>
      <c r="S22" s="13">
        <v>14</v>
      </c>
      <c r="T22" s="15">
        <f t="shared" si="1"/>
        <v>50.578149999999994</v>
      </c>
      <c r="U22" s="15">
        <f t="shared" si="2"/>
        <v>50.578149999999994</v>
      </c>
      <c r="V22" s="15">
        <f t="shared" si="3"/>
        <v>54.190874999999998</v>
      </c>
      <c r="W22" s="15">
        <f t="shared" si="4"/>
        <v>54.190874999999998</v>
      </c>
      <c r="X22" s="15">
        <f t="shared" si="5"/>
        <v>54.190874999999998</v>
      </c>
      <c r="Y22" s="15">
        <f t="shared" si="6"/>
        <v>50.578149999999994</v>
      </c>
      <c r="Z22" s="15">
        <f t="shared" si="7"/>
        <v>50.578149999999994</v>
      </c>
      <c r="AA22" s="15">
        <f t="shared" si="8"/>
        <v>50.578149999999994</v>
      </c>
      <c r="AB22" s="15">
        <f t="shared" si="9"/>
        <v>50.578149999999994</v>
      </c>
      <c r="AC22" s="15">
        <f t="shared" si="10"/>
        <v>50.578149999999994</v>
      </c>
      <c r="AD22" s="15">
        <f t="shared" si="11"/>
        <v>50.578149999999994</v>
      </c>
      <c r="AE22" s="15">
        <f t="shared" si="12"/>
        <v>50.578149999999994</v>
      </c>
      <c r="AF22" s="1"/>
      <c r="AG22" s="1"/>
      <c r="AH22" s="1"/>
      <c r="AI22" s="1"/>
      <c r="AJ22" s="1"/>
      <c r="AK22" s="1"/>
      <c r="AL22" s="1"/>
      <c r="AM22" s="1"/>
      <c r="AN22" s="1"/>
      <c r="AO22" s="1"/>
      <c r="AP22" s="1"/>
      <c r="AQ22" s="1"/>
      <c r="AR22" s="1"/>
      <c r="AS22" s="1"/>
      <c r="AT22" s="1"/>
      <c r="AU22" s="1"/>
      <c r="AV22" s="1"/>
      <c r="AW22" s="1"/>
      <c r="AX22" s="1"/>
      <c r="AY22" s="1"/>
      <c r="AZ22" s="1"/>
    </row>
    <row r="23" spans="1:52">
      <c r="A23" s="8">
        <f t="shared" si="0"/>
        <v>26.058999999999997</v>
      </c>
      <c r="B23" s="8" t="s">
        <v>343</v>
      </c>
      <c r="C23" s="13">
        <v>6</v>
      </c>
      <c r="D23" s="40">
        <v>44</v>
      </c>
      <c r="E23" s="11">
        <v>0.15</v>
      </c>
      <c r="F23" s="13">
        <v>0</v>
      </c>
      <c r="G23" s="13">
        <v>0</v>
      </c>
      <c r="H23" s="13">
        <v>6</v>
      </c>
      <c r="I23" s="13">
        <v>6</v>
      </c>
      <c r="J23" s="13">
        <v>6</v>
      </c>
      <c r="K23" s="13">
        <v>6</v>
      </c>
      <c r="L23" s="13">
        <v>6</v>
      </c>
      <c r="M23" s="13">
        <v>6</v>
      </c>
      <c r="N23" s="13">
        <v>6</v>
      </c>
      <c r="O23" s="13">
        <v>6</v>
      </c>
      <c r="P23" s="13">
        <v>6</v>
      </c>
      <c r="Q23" s="13">
        <v>6</v>
      </c>
      <c r="R23" s="13">
        <v>6</v>
      </c>
      <c r="S23" s="13">
        <v>6</v>
      </c>
      <c r="T23" s="15">
        <f t="shared" si="1"/>
        <v>26.058999999999997</v>
      </c>
      <c r="U23" s="15">
        <f t="shared" si="2"/>
        <v>26.058999999999997</v>
      </c>
      <c r="V23" s="15">
        <f t="shared" si="3"/>
        <v>26.058999999999997</v>
      </c>
      <c r="W23" s="15">
        <f t="shared" si="4"/>
        <v>26.058999999999997</v>
      </c>
      <c r="X23" s="15">
        <f t="shared" si="5"/>
        <v>26.058999999999997</v>
      </c>
      <c r="Y23" s="15">
        <f t="shared" si="6"/>
        <v>26.058999999999997</v>
      </c>
      <c r="Z23" s="15">
        <f t="shared" si="7"/>
        <v>26.058999999999997</v>
      </c>
      <c r="AA23" s="15">
        <f t="shared" si="8"/>
        <v>26.058999999999997</v>
      </c>
      <c r="AB23" s="15">
        <f t="shared" si="9"/>
        <v>26.058999999999997</v>
      </c>
      <c r="AC23" s="15">
        <f t="shared" si="10"/>
        <v>26.058999999999997</v>
      </c>
      <c r="AD23" s="15">
        <f t="shared" si="11"/>
        <v>26.058999999999997</v>
      </c>
      <c r="AE23" s="15">
        <f t="shared" si="12"/>
        <v>26.058999999999997</v>
      </c>
      <c r="AF23" s="1"/>
      <c r="AG23" s="1"/>
      <c r="AH23" s="1"/>
      <c r="AI23" s="1"/>
      <c r="AJ23" s="1"/>
      <c r="AK23" s="1"/>
      <c r="AL23" s="1"/>
      <c r="AM23" s="1"/>
      <c r="AN23" s="1"/>
      <c r="AO23" s="1"/>
      <c r="AP23" s="1"/>
      <c r="AQ23" s="1"/>
      <c r="AR23" s="1"/>
      <c r="AS23" s="1"/>
      <c r="AT23" s="1"/>
      <c r="AU23" s="1"/>
      <c r="AV23" s="1"/>
      <c r="AW23" s="1"/>
      <c r="AX23" s="1"/>
      <c r="AY23" s="1"/>
      <c r="AZ23" s="1"/>
    </row>
    <row r="24" spans="1:52">
      <c r="A24" s="8">
        <f t="shared" si="0"/>
        <v>45.395962500000003</v>
      </c>
      <c r="B24" s="8" t="s">
        <v>344</v>
      </c>
      <c r="C24" s="13">
        <v>8</v>
      </c>
      <c r="D24" s="40">
        <v>51.1</v>
      </c>
      <c r="E24" s="11">
        <v>0.15</v>
      </c>
      <c r="F24" s="13">
        <v>1</v>
      </c>
      <c r="G24" s="13">
        <v>0</v>
      </c>
      <c r="H24" s="13">
        <v>8</v>
      </c>
      <c r="I24" s="13">
        <v>8</v>
      </c>
      <c r="J24" s="13">
        <v>9</v>
      </c>
      <c r="K24" s="13">
        <v>9</v>
      </c>
      <c r="L24" s="13">
        <v>9</v>
      </c>
      <c r="M24" s="13">
        <v>9</v>
      </c>
      <c r="N24" s="13">
        <v>9</v>
      </c>
      <c r="O24" s="13">
        <v>9</v>
      </c>
      <c r="P24" s="13">
        <v>9</v>
      </c>
      <c r="Q24" s="13">
        <v>9</v>
      </c>
      <c r="R24" s="13">
        <v>9</v>
      </c>
      <c r="S24" s="13">
        <v>9</v>
      </c>
      <c r="T24" s="15">
        <f t="shared" si="1"/>
        <v>40.351966666666662</v>
      </c>
      <c r="U24" s="15">
        <f t="shared" si="2"/>
        <v>40.351966666666662</v>
      </c>
      <c r="V24" s="15">
        <f t="shared" si="3"/>
        <v>45.395962500000003</v>
      </c>
      <c r="W24" s="15">
        <f t="shared" si="4"/>
        <v>45.395962500000003</v>
      </c>
      <c r="X24" s="15">
        <f t="shared" si="5"/>
        <v>45.395962500000003</v>
      </c>
      <c r="Y24" s="15">
        <f t="shared" si="6"/>
        <v>45.395962500000003</v>
      </c>
      <c r="Z24" s="15">
        <f t="shared" si="7"/>
        <v>45.395962500000003</v>
      </c>
      <c r="AA24" s="15">
        <f t="shared" si="8"/>
        <v>45.395962500000003</v>
      </c>
      <c r="AB24" s="15">
        <f t="shared" si="9"/>
        <v>45.395962500000003</v>
      </c>
      <c r="AC24" s="15">
        <f t="shared" si="10"/>
        <v>45.395962500000003</v>
      </c>
      <c r="AD24" s="15">
        <f t="shared" si="11"/>
        <v>45.395962500000003</v>
      </c>
      <c r="AE24" s="15">
        <f t="shared" si="12"/>
        <v>45.395962500000003</v>
      </c>
      <c r="AF24" s="1"/>
      <c r="AG24" s="1"/>
      <c r="AH24" s="1"/>
      <c r="AI24" s="1"/>
      <c r="AJ24" s="1"/>
      <c r="AK24" s="1"/>
      <c r="AL24" s="1"/>
      <c r="AM24" s="1"/>
      <c r="AN24" s="1"/>
      <c r="AO24" s="1"/>
      <c r="AP24" s="1"/>
      <c r="AQ24" s="1"/>
      <c r="AR24" s="1"/>
      <c r="AS24" s="1"/>
      <c r="AT24" s="1"/>
      <c r="AU24" s="1"/>
      <c r="AV24" s="1"/>
      <c r="AW24" s="1"/>
      <c r="AX24" s="1"/>
      <c r="AY24" s="1"/>
      <c r="AZ24" s="1"/>
    </row>
    <row r="25" spans="1:52">
      <c r="A25" s="8">
        <f t="shared" si="0"/>
        <v>42.997350000000004</v>
      </c>
      <c r="B25" s="8" t="s">
        <v>341</v>
      </c>
      <c r="C25" s="13">
        <v>10</v>
      </c>
      <c r="D25" s="40">
        <v>39.6</v>
      </c>
      <c r="E25" s="11">
        <v>0.15</v>
      </c>
      <c r="F25" s="13">
        <v>1</v>
      </c>
      <c r="G25" s="13">
        <v>0</v>
      </c>
      <c r="H25" s="13">
        <v>10</v>
      </c>
      <c r="I25" s="13">
        <v>10</v>
      </c>
      <c r="J25" s="13">
        <v>11</v>
      </c>
      <c r="K25" s="13">
        <v>11</v>
      </c>
      <c r="L25" s="13">
        <v>11</v>
      </c>
      <c r="M25" s="13">
        <v>11</v>
      </c>
      <c r="N25" s="13">
        <v>11</v>
      </c>
      <c r="O25" s="13">
        <v>11</v>
      </c>
      <c r="P25" s="13">
        <v>11</v>
      </c>
      <c r="Q25" s="13">
        <v>11</v>
      </c>
      <c r="R25" s="13">
        <v>11</v>
      </c>
      <c r="S25" s="13">
        <v>11</v>
      </c>
      <c r="T25" s="15">
        <f t="shared" si="1"/>
        <v>39.088499999999996</v>
      </c>
      <c r="U25" s="15">
        <f t="shared" si="2"/>
        <v>39.088499999999996</v>
      </c>
      <c r="V25" s="15">
        <f t="shared" si="3"/>
        <v>42.997350000000004</v>
      </c>
      <c r="W25" s="15">
        <f t="shared" si="4"/>
        <v>42.997350000000004</v>
      </c>
      <c r="X25" s="15">
        <f t="shared" si="5"/>
        <v>42.997350000000004</v>
      </c>
      <c r="Y25" s="15">
        <f t="shared" si="6"/>
        <v>42.997350000000004</v>
      </c>
      <c r="Z25" s="15">
        <f t="shared" si="7"/>
        <v>42.997350000000004</v>
      </c>
      <c r="AA25" s="15">
        <f t="shared" si="8"/>
        <v>42.997350000000004</v>
      </c>
      <c r="AB25" s="15">
        <f t="shared" si="9"/>
        <v>42.997350000000004</v>
      </c>
      <c r="AC25" s="15">
        <f t="shared" si="10"/>
        <v>42.997350000000004</v>
      </c>
      <c r="AD25" s="15">
        <f t="shared" si="11"/>
        <v>42.997350000000004</v>
      </c>
      <c r="AE25" s="15">
        <f t="shared" si="12"/>
        <v>42.997350000000004</v>
      </c>
      <c r="AF25" s="1"/>
      <c r="AG25" s="1"/>
      <c r="AH25" s="1"/>
      <c r="AI25" s="1"/>
      <c r="AJ25" s="1"/>
      <c r="AK25" s="1"/>
      <c r="AL25" s="1"/>
      <c r="AM25" s="1"/>
      <c r="AN25" s="1"/>
      <c r="AO25" s="1"/>
      <c r="AP25" s="1"/>
      <c r="AQ25" s="1"/>
      <c r="AR25" s="1"/>
      <c r="AS25" s="1"/>
      <c r="AT25" s="1"/>
      <c r="AU25" s="1"/>
      <c r="AV25" s="1"/>
      <c r="AW25" s="1"/>
      <c r="AX25" s="1"/>
      <c r="AY25" s="1"/>
      <c r="AZ25" s="1"/>
    </row>
    <row r="26" spans="1:52">
      <c r="A26" s="8">
        <f t="shared" si="0"/>
        <v>45.010999999999996</v>
      </c>
      <c r="B26" s="8" t="s">
        <v>342</v>
      </c>
      <c r="C26" s="13">
        <v>12</v>
      </c>
      <c r="D26" s="40">
        <v>38</v>
      </c>
      <c r="E26" s="11">
        <v>0.15</v>
      </c>
      <c r="F26" s="13">
        <v>1</v>
      </c>
      <c r="G26" s="13">
        <v>1</v>
      </c>
      <c r="H26" s="13">
        <v>12</v>
      </c>
      <c r="I26" s="13">
        <v>12</v>
      </c>
      <c r="J26" s="13">
        <v>13</v>
      </c>
      <c r="K26" s="13">
        <v>13</v>
      </c>
      <c r="L26" s="13">
        <v>13</v>
      </c>
      <c r="M26" s="13">
        <v>12</v>
      </c>
      <c r="N26" s="13">
        <v>12</v>
      </c>
      <c r="O26" s="13">
        <v>12</v>
      </c>
      <c r="P26" s="13">
        <v>12</v>
      </c>
      <c r="Q26" s="13">
        <v>12</v>
      </c>
      <c r="R26" s="13">
        <v>12</v>
      </c>
      <c r="S26" s="13">
        <v>12</v>
      </c>
      <c r="T26" s="15">
        <f t="shared" si="1"/>
        <v>45.010999999999996</v>
      </c>
      <c r="U26" s="15">
        <f t="shared" si="2"/>
        <v>45.010999999999996</v>
      </c>
      <c r="V26" s="15">
        <f t="shared" si="3"/>
        <v>48.761916666666657</v>
      </c>
      <c r="W26" s="15">
        <f t="shared" si="4"/>
        <v>48.761916666666657</v>
      </c>
      <c r="X26" s="15">
        <f t="shared" si="5"/>
        <v>48.761916666666657</v>
      </c>
      <c r="Y26" s="15">
        <f t="shared" si="6"/>
        <v>45.010999999999996</v>
      </c>
      <c r="Z26" s="15">
        <f t="shared" si="7"/>
        <v>45.010999999999996</v>
      </c>
      <c r="AA26" s="15">
        <f t="shared" si="8"/>
        <v>45.010999999999996</v>
      </c>
      <c r="AB26" s="15">
        <f t="shared" si="9"/>
        <v>45.010999999999996</v>
      </c>
      <c r="AC26" s="15">
        <f t="shared" si="10"/>
        <v>45.010999999999996</v>
      </c>
      <c r="AD26" s="15">
        <f t="shared" si="11"/>
        <v>45.010999999999996</v>
      </c>
      <c r="AE26" s="15">
        <f t="shared" si="12"/>
        <v>45.010999999999996</v>
      </c>
      <c r="AF26" s="1"/>
      <c r="AG26" s="1"/>
      <c r="AH26" s="1"/>
      <c r="AI26" s="1"/>
      <c r="AJ26" s="1"/>
      <c r="AK26" s="1"/>
      <c r="AL26" s="1"/>
      <c r="AM26" s="1"/>
      <c r="AN26" s="1"/>
      <c r="AO26" s="1"/>
      <c r="AP26" s="1"/>
      <c r="AQ26" s="1"/>
      <c r="AR26" s="1"/>
      <c r="AS26" s="1"/>
      <c r="AT26" s="1"/>
      <c r="AU26" s="1"/>
      <c r="AV26" s="1"/>
      <c r="AW26" s="1"/>
      <c r="AX26" s="1"/>
      <c r="AY26" s="1"/>
      <c r="AZ26" s="1"/>
    </row>
    <row r="27" spans="1:52">
      <c r="A27" s="8">
        <f t="shared" si="0"/>
        <v>20.876812499999996</v>
      </c>
      <c r="B27" s="8" t="s">
        <v>343</v>
      </c>
      <c r="C27" s="13">
        <v>5</v>
      </c>
      <c r="D27" s="40">
        <v>42.3</v>
      </c>
      <c r="E27" s="11">
        <v>0.15</v>
      </c>
      <c r="F27" s="13">
        <v>0</v>
      </c>
      <c r="G27" s="13">
        <v>0</v>
      </c>
      <c r="H27" s="13">
        <v>5</v>
      </c>
      <c r="I27" s="13">
        <v>5</v>
      </c>
      <c r="J27" s="13">
        <v>5</v>
      </c>
      <c r="K27" s="13">
        <v>5</v>
      </c>
      <c r="L27" s="13">
        <v>5</v>
      </c>
      <c r="M27" s="13">
        <v>5</v>
      </c>
      <c r="N27" s="13">
        <v>5</v>
      </c>
      <c r="O27" s="13">
        <v>5</v>
      </c>
      <c r="P27" s="13">
        <v>5</v>
      </c>
      <c r="Q27" s="13">
        <v>5</v>
      </c>
      <c r="R27" s="13">
        <v>5</v>
      </c>
      <c r="S27" s="13">
        <v>5</v>
      </c>
      <c r="T27" s="15">
        <f t="shared" si="1"/>
        <v>20.876812499999996</v>
      </c>
      <c r="U27" s="15">
        <f t="shared" si="2"/>
        <v>20.876812499999996</v>
      </c>
      <c r="V27" s="15">
        <f t="shared" si="3"/>
        <v>20.876812499999996</v>
      </c>
      <c r="W27" s="15">
        <f t="shared" si="4"/>
        <v>20.876812499999996</v>
      </c>
      <c r="X27" s="15">
        <f t="shared" si="5"/>
        <v>20.876812499999996</v>
      </c>
      <c r="Y27" s="15">
        <f t="shared" si="6"/>
        <v>20.876812499999996</v>
      </c>
      <c r="Z27" s="15">
        <f t="shared" si="7"/>
        <v>20.876812499999996</v>
      </c>
      <c r="AA27" s="15">
        <f t="shared" si="8"/>
        <v>20.876812499999996</v>
      </c>
      <c r="AB27" s="15">
        <f t="shared" si="9"/>
        <v>20.876812499999996</v>
      </c>
      <c r="AC27" s="15">
        <f t="shared" si="10"/>
        <v>20.876812499999996</v>
      </c>
      <c r="AD27" s="15">
        <f t="shared" si="11"/>
        <v>20.876812499999996</v>
      </c>
      <c r="AE27" s="15">
        <f t="shared" si="12"/>
        <v>20.876812499999996</v>
      </c>
      <c r="AF27" s="1"/>
      <c r="AG27" s="1"/>
      <c r="AH27" s="1"/>
      <c r="AI27" s="1"/>
      <c r="AJ27" s="1"/>
      <c r="AK27" s="1"/>
      <c r="AL27" s="1"/>
      <c r="AM27" s="1"/>
      <c r="AN27" s="1"/>
      <c r="AO27" s="1"/>
      <c r="AP27" s="1"/>
      <c r="AQ27" s="1"/>
      <c r="AR27" s="1"/>
      <c r="AS27" s="1"/>
      <c r="AT27" s="1"/>
      <c r="AU27" s="1"/>
      <c r="AV27" s="1"/>
      <c r="AW27" s="1"/>
      <c r="AX27" s="1"/>
      <c r="AY27" s="1"/>
      <c r="AZ27" s="1"/>
    </row>
    <row r="28" spans="1:52">
      <c r="A28" s="8">
        <f t="shared" si="0"/>
        <v>40.115066666666664</v>
      </c>
      <c r="B28" s="8" t="s">
        <v>344</v>
      </c>
      <c r="C28" s="13">
        <v>7</v>
      </c>
      <c r="D28" s="40">
        <v>50.8</v>
      </c>
      <c r="E28" s="11">
        <v>0.15</v>
      </c>
      <c r="F28" s="13">
        <v>1</v>
      </c>
      <c r="G28" s="13">
        <v>0</v>
      </c>
      <c r="H28" s="13">
        <v>7</v>
      </c>
      <c r="I28" s="13">
        <v>7</v>
      </c>
      <c r="J28" s="13">
        <v>8</v>
      </c>
      <c r="K28" s="13">
        <v>8</v>
      </c>
      <c r="L28" s="13">
        <v>8</v>
      </c>
      <c r="M28" s="13">
        <v>8</v>
      </c>
      <c r="N28" s="13">
        <v>8</v>
      </c>
      <c r="O28" s="13">
        <v>8</v>
      </c>
      <c r="P28" s="13">
        <v>8</v>
      </c>
      <c r="Q28" s="13">
        <v>8</v>
      </c>
      <c r="R28" s="13">
        <v>8</v>
      </c>
      <c r="S28" s="13">
        <v>8</v>
      </c>
      <c r="T28" s="15">
        <f t="shared" si="1"/>
        <v>35.100683333333329</v>
      </c>
      <c r="U28" s="15">
        <f t="shared" si="2"/>
        <v>35.100683333333329</v>
      </c>
      <c r="V28" s="15">
        <f t="shared" si="3"/>
        <v>40.115066666666664</v>
      </c>
      <c r="W28" s="15">
        <f t="shared" si="4"/>
        <v>40.115066666666664</v>
      </c>
      <c r="X28" s="15">
        <f t="shared" si="5"/>
        <v>40.115066666666664</v>
      </c>
      <c r="Y28" s="15">
        <f t="shared" si="6"/>
        <v>40.115066666666664</v>
      </c>
      <c r="Z28" s="15">
        <f t="shared" si="7"/>
        <v>40.115066666666664</v>
      </c>
      <c r="AA28" s="15">
        <f t="shared" si="8"/>
        <v>40.115066666666664</v>
      </c>
      <c r="AB28" s="15">
        <f t="shared" si="9"/>
        <v>40.115066666666664</v>
      </c>
      <c r="AC28" s="15">
        <f t="shared" si="10"/>
        <v>40.115066666666664</v>
      </c>
      <c r="AD28" s="15">
        <f t="shared" si="11"/>
        <v>40.115066666666664</v>
      </c>
      <c r="AE28" s="15">
        <f t="shared" si="12"/>
        <v>40.115066666666664</v>
      </c>
      <c r="AF28" s="1"/>
      <c r="AG28" s="1"/>
      <c r="AH28" s="1"/>
      <c r="AI28" s="1"/>
      <c r="AJ28" s="1"/>
      <c r="AK28" s="1"/>
      <c r="AL28" s="1"/>
      <c r="AM28" s="1"/>
      <c r="AN28" s="1"/>
      <c r="AO28" s="1"/>
      <c r="AP28" s="1"/>
      <c r="AQ28" s="1"/>
      <c r="AR28" s="1"/>
      <c r="AS28" s="1"/>
      <c r="AT28" s="1"/>
      <c r="AU28" s="1"/>
      <c r="AV28" s="1"/>
      <c r="AW28" s="1"/>
      <c r="AX28" s="1"/>
      <c r="AY28" s="1"/>
      <c r="AZ28" s="1"/>
    </row>
    <row r="29" spans="1:52">
      <c r="A29" s="8">
        <f t="shared" si="0"/>
        <v>41.457500000000003</v>
      </c>
      <c r="B29" s="8" t="s">
        <v>341</v>
      </c>
      <c r="C29" s="13">
        <v>9</v>
      </c>
      <c r="D29" s="40">
        <v>42</v>
      </c>
      <c r="E29" s="11">
        <v>0.15</v>
      </c>
      <c r="F29" s="13">
        <v>1</v>
      </c>
      <c r="G29" s="13">
        <v>0</v>
      </c>
      <c r="H29" s="13">
        <v>9</v>
      </c>
      <c r="I29" s="13">
        <v>9</v>
      </c>
      <c r="J29" s="13">
        <v>10</v>
      </c>
      <c r="K29" s="13">
        <v>10</v>
      </c>
      <c r="L29" s="13">
        <v>10</v>
      </c>
      <c r="M29" s="13">
        <v>10</v>
      </c>
      <c r="N29" s="13">
        <v>10</v>
      </c>
      <c r="O29" s="13">
        <v>10</v>
      </c>
      <c r="P29" s="13">
        <v>10</v>
      </c>
      <c r="Q29" s="13">
        <v>10</v>
      </c>
      <c r="R29" s="13">
        <v>10</v>
      </c>
      <c r="S29" s="13">
        <v>10</v>
      </c>
      <c r="T29" s="15">
        <f t="shared" si="1"/>
        <v>37.311749999999996</v>
      </c>
      <c r="U29" s="15">
        <f t="shared" si="2"/>
        <v>37.311749999999996</v>
      </c>
      <c r="V29" s="15">
        <f t="shared" si="3"/>
        <v>41.457500000000003</v>
      </c>
      <c r="W29" s="15">
        <f t="shared" si="4"/>
        <v>41.457500000000003</v>
      </c>
      <c r="X29" s="15">
        <f t="shared" si="5"/>
        <v>41.457500000000003</v>
      </c>
      <c r="Y29" s="15">
        <f t="shared" si="6"/>
        <v>41.457500000000003</v>
      </c>
      <c r="Z29" s="15">
        <f t="shared" si="7"/>
        <v>41.457500000000003</v>
      </c>
      <c r="AA29" s="15">
        <f t="shared" si="8"/>
        <v>41.457500000000003</v>
      </c>
      <c r="AB29" s="15">
        <f t="shared" si="9"/>
        <v>41.457500000000003</v>
      </c>
      <c r="AC29" s="15">
        <f t="shared" si="10"/>
        <v>41.457500000000003</v>
      </c>
      <c r="AD29" s="15">
        <f t="shared" si="11"/>
        <v>41.457500000000003</v>
      </c>
      <c r="AE29" s="15">
        <f t="shared" si="12"/>
        <v>41.457500000000003</v>
      </c>
      <c r="AF29" s="1"/>
      <c r="AG29" s="1"/>
      <c r="AH29" s="1"/>
      <c r="AI29" s="1"/>
      <c r="AJ29" s="1"/>
      <c r="AK29" s="1"/>
      <c r="AL29" s="1"/>
      <c r="AM29" s="1"/>
      <c r="AN29" s="1"/>
      <c r="AO29" s="1"/>
      <c r="AP29" s="1"/>
      <c r="AQ29" s="1"/>
      <c r="AR29" s="1"/>
      <c r="AS29" s="1"/>
      <c r="AT29" s="1"/>
      <c r="AU29" s="1"/>
      <c r="AV29" s="1"/>
      <c r="AW29" s="1"/>
      <c r="AX29" s="1"/>
      <c r="AY29" s="1"/>
      <c r="AZ29" s="1"/>
    </row>
    <row r="30" spans="1:52">
      <c r="A30" s="8">
        <f t="shared" si="0"/>
        <v>37.015624999999993</v>
      </c>
      <c r="B30" s="8" t="s">
        <v>342</v>
      </c>
      <c r="C30" s="13">
        <v>10</v>
      </c>
      <c r="D30" s="40">
        <v>37.5</v>
      </c>
      <c r="E30" s="11">
        <v>0.15</v>
      </c>
      <c r="F30" s="13">
        <v>0</v>
      </c>
      <c r="G30" s="13">
        <v>0</v>
      </c>
      <c r="H30" s="13">
        <v>10</v>
      </c>
      <c r="I30" s="13">
        <v>10</v>
      </c>
      <c r="J30" s="13">
        <v>10</v>
      </c>
      <c r="K30" s="13">
        <v>10</v>
      </c>
      <c r="L30" s="13">
        <v>10</v>
      </c>
      <c r="M30" s="13">
        <v>10</v>
      </c>
      <c r="N30" s="13">
        <v>10</v>
      </c>
      <c r="O30" s="13">
        <v>10</v>
      </c>
      <c r="P30" s="13">
        <v>10</v>
      </c>
      <c r="Q30" s="13">
        <v>10</v>
      </c>
      <c r="R30" s="13">
        <v>10</v>
      </c>
      <c r="S30" s="13">
        <v>10</v>
      </c>
      <c r="T30" s="15">
        <f t="shared" si="1"/>
        <v>37.015624999999993</v>
      </c>
      <c r="U30" s="15">
        <f t="shared" si="2"/>
        <v>37.015624999999993</v>
      </c>
      <c r="V30" s="15">
        <f t="shared" si="3"/>
        <v>37.015624999999993</v>
      </c>
      <c r="W30" s="15">
        <f t="shared" si="4"/>
        <v>37.015624999999993</v>
      </c>
      <c r="X30" s="15">
        <f t="shared" si="5"/>
        <v>37.015624999999993</v>
      </c>
      <c r="Y30" s="15">
        <f t="shared" si="6"/>
        <v>37.015624999999993</v>
      </c>
      <c r="Z30" s="15">
        <f t="shared" si="7"/>
        <v>37.015624999999993</v>
      </c>
      <c r="AA30" s="15">
        <f t="shared" si="8"/>
        <v>37.015624999999993</v>
      </c>
      <c r="AB30" s="15">
        <f t="shared" si="9"/>
        <v>37.015624999999993</v>
      </c>
      <c r="AC30" s="15">
        <f t="shared" si="10"/>
        <v>37.015624999999993</v>
      </c>
      <c r="AD30" s="15">
        <f t="shared" si="11"/>
        <v>37.015624999999993</v>
      </c>
      <c r="AE30" s="15">
        <f t="shared" si="12"/>
        <v>37.015624999999993</v>
      </c>
      <c r="AF30" s="1"/>
      <c r="AG30" s="1"/>
      <c r="AH30" s="1"/>
      <c r="AI30" s="1"/>
      <c r="AJ30" s="1"/>
      <c r="AK30" s="1"/>
      <c r="AL30" s="1"/>
      <c r="AM30" s="1"/>
      <c r="AN30" s="1"/>
      <c r="AO30" s="1"/>
      <c r="AP30" s="1"/>
      <c r="AQ30" s="1"/>
      <c r="AR30" s="1"/>
      <c r="AS30" s="1"/>
      <c r="AT30" s="1"/>
      <c r="AU30" s="1"/>
      <c r="AV30" s="1"/>
      <c r="AW30" s="1"/>
      <c r="AX30" s="1"/>
      <c r="AY30" s="1"/>
      <c r="AZ30" s="1"/>
    </row>
    <row r="31" spans="1:52">
      <c r="A31" s="8">
        <f t="shared" si="0"/>
        <v>20.876812499999996</v>
      </c>
      <c r="B31" s="8" t="s">
        <v>343</v>
      </c>
      <c r="C31" s="13">
        <v>5</v>
      </c>
      <c r="D31" s="40">
        <v>42.3</v>
      </c>
      <c r="E31" s="11">
        <v>0.15</v>
      </c>
      <c r="F31" s="13">
        <v>0</v>
      </c>
      <c r="G31" s="13">
        <v>0</v>
      </c>
      <c r="H31" s="13">
        <v>5</v>
      </c>
      <c r="I31" s="13">
        <v>5</v>
      </c>
      <c r="J31" s="13">
        <v>5</v>
      </c>
      <c r="K31" s="13">
        <v>5</v>
      </c>
      <c r="L31" s="13">
        <v>5</v>
      </c>
      <c r="M31" s="13">
        <v>5</v>
      </c>
      <c r="N31" s="13">
        <v>5</v>
      </c>
      <c r="O31" s="13">
        <v>5</v>
      </c>
      <c r="P31" s="13">
        <v>5</v>
      </c>
      <c r="Q31" s="13">
        <v>5</v>
      </c>
      <c r="R31" s="13">
        <v>5</v>
      </c>
      <c r="S31" s="13">
        <v>5</v>
      </c>
      <c r="T31" s="15">
        <f t="shared" si="1"/>
        <v>20.876812499999996</v>
      </c>
      <c r="U31" s="15">
        <f t="shared" si="2"/>
        <v>20.876812499999996</v>
      </c>
      <c r="V31" s="15">
        <f t="shared" si="3"/>
        <v>20.876812499999996</v>
      </c>
      <c r="W31" s="15">
        <f t="shared" si="4"/>
        <v>20.876812499999996</v>
      </c>
      <c r="X31" s="15">
        <f t="shared" si="5"/>
        <v>20.876812499999996</v>
      </c>
      <c r="Y31" s="15">
        <f t="shared" si="6"/>
        <v>20.876812499999996</v>
      </c>
      <c r="Z31" s="15">
        <f t="shared" si="7"/>
        <v>20.876812499999996</v>
      </c>
      <c r="AA31" s="15">
        <f t="shared" si="8"/>
        <v>20.876812499999996</v>
      </c>
      <c r="AB31" s="15">
        <f t="shared" si="9"/>
        <v>20.876812499999996</v>
      </c>
      <c r="AC31" s="15">
        <f t="shared" si="10"/>
        <v>20.876812499999996</v>
      </c>
      <c r="AD31" s="15">
        <f t="shared" si="11"/>
        <v>20.876812499999996</v>
      </c>
      <c r="AE31" s="15">
        <f t="shared" si="12"/>
        <v>20.876812499999996</v>
      </c>
      <c r="AF31" s="1"/>
      <c r="AG31" s="1"/>
      <c r="AH31" s="1"/>
      <c r="AI31" s="1"/>
      <c r="AJ31" s="1"/>
      <c r="AK31" s="1"/>
      <c r="AL31" s="1"/>
      <c r="AM31" s="1"/>
      <c r="AN31" s="1"/>
      <c r="AO31" s="1"/>
      <c r="AP31" s="1"/>
      <c r="AQ31" s="1"/>
      <c r="AR31" s="1"/>
      <c r="AS31" s="1"/>
      <c r="AT31" s="1"/>
      <c r="AU31" s="1"/>
      <c r="AV31" s="1"/>
      <c r="AW31" s="1"/>
      <c r="AX31" s="1"/>
      <c r="AY31" s="1"/>
      <c r="AZ31" s="1"/>
    </row>
    <row r="32" spans="1:52">
      <c r="A32" s="8">
        <f t="shared" si="0"/>
        <v>28.427999999999997</v>
      </c>
      <c r="B32" s="8" t="s">
        <v>344</v>
      </c>
      <c r="C32" s="13">
        <v>5</v>
      </c>
      <c r="D32" s="40">
        <v>48</v>
      </c>
      <c r="E32" s="11">
        <v>0.15</v>
      </c>
      <c r="F32" s="13">
        <v>1</v>
      </c>
      <c r="G32" s="13">
        <v>0</v>
      </c>
      <c r="H32" s="13">
        <v>5</v>
      </c>
      <c r="I32" s="13">
        <v>5</v>
      </c>
      <c r="J32" s="13">
        <v>6</v>
      </c>
      <c r="K32" s="13">
        <v>6</v>
      </c>
      <c r="L32" s="13">
        <v>6</v>
      </c>
      <c r="M32" s="13">
        <v>6</v>
      </c>
      <c r="N32" s="13">
        <v>6</v>
      </c>
      <c r="O32" s="13">
        <v>6</v>
      </c>
      <c r="P32" s="13">
        <v>6</v>
      </c>
      <c r="Q32" s="13">
        <v>6</v>
      </c>
      <c r="R32" s="13">
        <v>6</v>
      </c>
      <c r="S32" s="13">
        <v>6</v>
      </c>
      <c r="T32" s="15">
        <f t="shared" si="1"/>
        <v>23.689999999999998</v>
      </c>
      <c r="U32" s="15">
        <f t="shared" si="2"/>
        <v>23.689999999999998</v>
      </c>
      <c r="V32" s="15">
        <f t="shared" si="3"/>
        <v>28.427999999999997</v>
      </c>
      <c r="W32" s="15">
        <f t="shared" si="4"/>
        <v>28.427999999999997</v>
      </c>
      <c r="X32" s="15">
        <f t="shared" si="5"/>
        <v>28.427999999999997</v>
      </c>
      <c r="Y32" s="15">
        <f t="shared" si="6"/>
        <v>28.427999999999997</v>
      </c>
      <c r="Z32" s="15">
        <f t="shared" si="7"/>
        <v>28.427999999999997</v>
      </c>
      <c r="AA32" s="15">
        <f t="shared" si="8"/>
        <v>28.427999999999997</v>
      </c>
      <c r="AB32" s="15">
        <f t="shared" si="9"/>
        <v>28.427999999999997</v>
      </c>
      <c r="AC32" s="15">
        <f t="shared" si="10"/>
        <v>28.427999999999997</v>
      </c>
      <c r="AD32" s="15">
        <f t="shared" si="11"/>
        <v>28.427999999999997</v>
      </c>
      <c r="AE32" s="15">
        <f t="shared" si="12"/>
        <v>28.427999999999997</v>
      </c>
      <c r="AF32" s="1"/>
      <c r="AG32" s="1"/>
      <c r="AH32" s="1"/>
      <c r="AI32" s="1"/>
      <c r="AJ32" s="1"/>
      <c r="AK32" s="1"/>
      <c r="AL32" s="1"/>
      <c r="AM32" s="1"/>
      <c r="AN32" s="1"/>
      <c r="AO32" s="1"/>
      <c r="AP32" s="1"/>
      <c r="AQ32" s="1"/>
      <c r="AR32" s="1"/>
      <c r="AS32" s="1"/>
      <c r="AT32" s="1"/>
      <c r="AU32" s="1"/>
      <c r="AV32" s="1"/>
      <c r="AW32" s="1"/>
      <c r="AX32" s="1"/>
      <c r="AY32" s="1"/>
      <c r="AZ32" s="1"/>
    </row>
    <row r="33" spans="1:5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ht="26.75" customHeight="1">
      <c r="A35" s="90" t="s">
        <v>345</v>
      </c>
      <c r="B35" s="90"/>
      <c r="C35" s="90"/>
      <c r="D35" s="90"/>
      <c r="E35" s="90"/>
      <c r="F35" s="90"/>
      <c r="G35" s="90"/>
      <c r="H35" s="90"/>
      <c r="I35" s="90"/>
      <c r="J35" s="90"/>
      <c r="K35" s="90"/>
      <c r="L35" s="90"/>
      <c r="M35" s="90"/>
      <c r="N35" s="90"/>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ht="16">
      <c r="A36" s="38" t="s">
        <v>60</v>
      </c>
      <c r="B36" s="38" t="s">
        <v>134</v>
      </c>
      <c r="C36" s="38" t="s">
        <v>135</v>
      </c>
      <c r="D36" s="38" t="s">
        <v>136</v>
      </c>
      <c r="E36" s="38" t="s">
        <v>137</v>
      </c>
      <c r="F36" s="38" t="s">
        <v>138</v>
      </c>
      <c r="G36" s="38" t="s">
        <v>139</v>
      </c>
      <c r="H36" s="38" t="s">
        <v>140</v>
      </c>
      <c r="I36" s="38" t="s">
        <v>141</v>
      </c>
      <c r="J36" s="38" t="s">
        <v>142</v>
      </c>
      <c r="K36" s="38" t="s">
        <v>143</v>
      </c>
      <c r="L36" s="38" t="s">
        <v>144</v>
      </c>
      <c r="M36" s="38" t="s">
        <v>145</v>
      </c>
      <c r="N36" s="38" t="s">
        <v>346</v>
      </c>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c r="A37" s="1" t="s">
        <v>67</v>
      </c>
      <c r="B37" s="15">
        <f t="shared" ref="B37:M37" si="13">SUM(T13:T16)</f>
        <v>213.95031250000002</v>
      </c>
      <c r="C37" s="15">
        <f t="shared" si="13"/>
        <v>213.95031250000002</v>
      </c>
      <c r="D37" s="15">
        <f t="shared" si="13"/>
        <v>223.26837916666668</v>
      </c>
      <c r="E37" s="15">
        <f t="shared" si="13"/>
        <v>223.26837916666668</v>
      </c>
      <c r="F37" s="15">
        <f t="shared" si="13"/>
        <v>223.26837916666668</v>
      </c>
      <c r="G37" s="15">
        <f t="shared" si="13"/>
        <v>215.50003333333333</v>
      </c>
      <c r="H37" s="15">
        <f t="shared" si="13"/>
        <v>215.50003333333333</v>
      </c>
      <c r="I37" s="15">
        <f t="shared" si="13"/>
        <v>215.50003333333333</v>
      </c>
      <c r="J37" s="15">
        <f t="shared" si="13"/>
        <v>215.50003333333333</v>
      </c>
      <c r="K37" s="15">
        <f t="shared" si="13"/>
        <v>215.50003333333333</v>
      </c>
      <c r="L37" s="15">
        <f t="shared" si="13"/>
        <v>215.50003333333333</v>
      </c>
      <c r="M37" s="15">
        <f t="shared" si="13"/>
        <v>215.50003333333333</v>
      </c>
      <c r="N37" s="15">
        <f>SUM(B37:M37)</f>
        <v>2606.205995833333</v>
      </c>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t="s">
        <v>68</v>
      </c>
      <c r="B38" s="15">
        <f t="shared" ref="B38:M38" si="14">SUM(T17:T20)</f>
        <v>178.82988749999998</v>
      </c>
      <c r="C38" s="15">
        <f t="shared" si="14"/>
        <v>178.82988749999998</v>
      </c>
      <c r="D38" s="15">
        <f t="shared" si="14"/>
        <v>187.69389583333333</v>
      </c>
      <c r="E38" s="15">
        <f t="shared" si="14"/>
        <v>187.69389583333333</v>
      </c>
      <c r="F38" s="15">
        <f t="shared" si="14"/>
        <v>187.69389583333333</v>
      </c>
      <c r="G38" s="15">
        <f t="shared" si="14"/>
        <v>180.19206249999999</v>
      </c>
      <c r="H38" s="15">
        <f t="shared" si="14"/>
        <v>180.19206249999999</v>
      </c>
      <c r="I38" s="15">
        <f t="shared" si="14"/>
        <v>180.19206249999999</v>
      </c>
      <c r="J38" s="15">
        <f t="shared" si="14"/>
        <v>180.19206249999999</v>
      </c>
      <c r="K38" s="15">
        <f t="shared" si="14"/>
        <v>180.19206249999999</v>
      </c>
      <c r="L38" s="15">
        <f t="shared" si="14"/>
        <v>180.19206249999999</v>
      </c>
      <c r="M38" s="15">
        <f t="shared" si="14"/>
        <v>180.19206249999999</v>
      </c>
      <c r="N38" s="15">
        <f>SUM(B38:M38)</f>
        <v>2182.0859</v>
      </c>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t="s">
        <v>69</v>
      </c>
      <c r="B39" s="15">
        <f t="shared" ref="B39:M39" si="15">SUM(T21:T24)</f>
        <v>164.60601666666668</v>
      </c>
      <c r="C39" s="15">
        <f t="shared" si="15"/>
        <v>164.60601666666668</v>
      </c>
      <c r="D39" s="15">
        <f t="shared" si="15"/>
        <v>177.23081249999998</v>
      </c>
      <c r="E39" s="15">
        <f t="shared" si="15"/>
        <v>177.23081249999998</v>
      </c>
      <c r="F39" s="15">
        <f t="shared" si="15"/>
        <v>177.23081249999998</v>
      </c>
      <c r="G39" s="15">
        <f t="shared" si="15"/>
        <v>169.6500125</v>
      </c>
      <c r="H39" s="15">
        <f t="shared" si="15"/>
        <v>169.6500125</v>
      </c>
      <c r="I39" s="15">
        <f t="shared" si="15"/>
        <v>169.6500125</v>
      </c>
      <c r="J39" s="15">
        <f t="shared" si="15"/>
        <v>169.6500125</v>
      </c>
      <c r="K39" s="15">
        <f t="shared" si="15"/>
        <v>169.6500125</v>
      </c>
      <c r="L39" s="15">
        <f t="shared" si="15"/>
        <v>169.6500125</v>
      </c>
      <c r="M39" s="15">
        <f t="shared" si="15"/>
        <v>169.6500125</v>
      </c>
      <c r="N39" s="15">
        <f>SUM(B39:M39)</f>
        <v>2048.4545583333334</v>
      </c>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c r="A40" s="1" t="s">
        <v>70</v>
      </c>
      <c r="B40" s="15">
        <f t="shared" ref="B40:M40" si="16">SUM(T25:T28)</f>
        <v>140.07699583333331</v>
      </c>
      <c r="C40" s="15">
        <f t="shared" si="16"/>
        <v>140.07699583333331</v>
      </c>
      <c r="D40" s="15">
        <f t="shared" si="16"/>
        <v>152.75114583333334</v>
      </c>
      <c r="E40" s="15">
        <f t="shared" si="16"/>
        <v>152.75114583333334</v>
      </c>
      <c r="F40" s="15">
        <f t="shared" si="16"/>
        <v>152.75114583333334</v>
      </c>
      <c r="G40" s="15">
        <f t="shared" si="16"/>
        <v>149.00022916666666</v>
      </c>
      <c r="H40" s="15">
        <f t="shared" si="16"/>
        <v>149.00022916666666</v>
      </c>
      <c r="I40" s="15">
        <f t="shared" si="16"/>
        <v>149.00022916666666</v>
      </c>
      <c r="J40" s="15">
        <f t="shared" si="16"/>
        <v>149.00022916666666</v>
      </c>
      <c r="K40" s="15">
        <f t="shared" si="16"/>
        <v>149.00022916666666</v>
      </c>
      <c r="L40" s="15">
        <f t="shared" si="16"/>
        <v>149.00022916666666</v>
      </c>
      <c r="M40" s="15">
        <f t="shared" si="16"/>
        <v>149.00022916666666</v>
      </c>
      <c r="N40" s="15">
        <f>SUM(B40:M40)</f>
        <v>1781.4090333333336</v>
      </c>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c r="A41" s="1" t="s">
        <v>71</v>
      </c>
      <c r="B41" s="15">
        <f t="shared" ref="B41:M41" si="17">SUM(T29:T32)</f>
        <v>118.89418749999999</v>
      </c>
      <c r="C41" s="15">
        <f t="shared" si="17"/>
        <v>118.89418749999999</v>
      </c>
      <c r="D41" s="15">
        <f t="shared" si="17"/>
        <v>127.77793749999999</v>
      </c>
      <c r="E41" s="15">
        <f t="shared" si="17"/>
        <v>127.77793749999999</v>
      </c>
      <c r="F41" s="15">
        <f t="shared" si="17"/>
        <v>127.77793749999999</v>
      </c>
      <c r="G41" s="15">
        <f t="shared" si="17"/>
        <v>127.77793749999999</v>
      </c>
      <c r="H41" s="15">
        <f t="shared" si="17"/>
        <v>127.77793749999999</v>
      </c>
      <c r="I41" s="15">
        <f t="shared" si="17"/>
        <v>127.77793749999999</v>
      </c>
      <c r="J41" s="15">
        <f t="shared" si="17"/>
        <v>127.77793749999999</v>
      </c>
      <c r="K41" s="15">
        <f t="shared" si="17"/>
        <v>127.77793749999999</v>
      </c>
      <c r="L41" s="15">
        <f t="shared" si="17"/>
        <v>127.77793749999999</v>
      </c>
      <c r="M41" s="15">
        <f t="shared" si="17"/>
        <v>127.77793749999999</v>
      </c>
      <c r="N41" s="15">
        <f>SUM(B41:M41)</f>
        <v>1515.5677499999999</v>
      </c>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ht="26.75" customHeight="1">
      <c r="A44" s="90" t="s">
        <v>347</v>
      </c>
      <c r="B44" s="90"/>
      <c r="C44" s="90"/>
      <c r="D44" s="90"/>
      <c r="E44" s="90"/>
      <c r="F44" s="90"/>
      <c r="G44" s="90"/>
      <c r="H44" s="90"/>
      <c r="I44" s="90"/>
      <c r="J44" s="90"/>
      <c r="K44" s="90"/>
      <c r="L44" s="90"/>
      <c r="M44" s="90"/>
      <c r="N44" s="90"/>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ht="16">
      <c r="A45" s="38" t="s">
        <v>57</v>
      </c>
      <c r="B45" s="38" t="s">
        <v>134</v>
      </c>
      <c r="C45" s="38" t="s">
        <v>135</v>
      </c>
      <c r="D45" s="38" t="s">
        <v>136</v>
      </c>
      <c r="E45" s="38" t="s">
        <v>137</v>
      </c>
      <c r="F45" s="38" t="s">
        <v>138</v>
      </c>
      <c r="G45" s="38" t="s">
        <v>139</v>
      </c>
      <c r="H45" s="38" t="s">
        <v>140</v>
      </c>
      <c r="I45" s="38" t="s">
        <v>141</v>
      </c>
      <c r="J45" s="38" t="s">
        <v>142</v>
      </c>
      <c r="K45" s="38" t="s">
        <v>143</v>
      </c>
      <c r="L45" s="38" t="s">
        <v>144</v>
      </c>
      <c r="M45" s="38" t="s">
        <v>145</v>
      </c>
      <c r="N45" s="38" t="s">
        <v>348</v>
      </c>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t="s">
        <v>349</v>
      </c>
      <c r="B46" s="41">
        <f t="shared" ref="B46:M46" si="18">SUM(H13:H32)</f>
        <v>201</v>
      </c>
      <c r="C46" s="41">
        <f t="shared" si="18"/>
        <v>201</v>
      </c>
      <c r="D46" s="41">
        <f t="shared" si="18"/>
        <v>213</v>
      </c>
      <c r="E46" s="41">
        <f t="shared" si="18"/>
        <v>213</v>
      </c>
      <c r="F46" s="41">
        <f t="shared" si="18"/>
        <v>213</v>
      </c>
      <c r="G46" s="41">
        <f t="shared" si="18"/>
        <v>206</v>
      </c>
      <c r="H46" s="41">
        <f t="shared" si="18"/>
        <v>206</v>
      </c>
      <c r="I46" s="41">
        <f t="shared" si="18"/>
        <v>206</v>
      </c>
      <c r="J46" s="41">
        <f t="shared" si="18"/>
        <v>206</v>
      </c>
      <c r="K46" s="41">
        <f t="shared" si="18"/>
        <v>206</v>
      </c>
      <c r="L46" s="41">
        <f t="shared" si="18"/>
        <v>206</v>
      </c>
      <c r="M46" s="41">
        <f t="shared" si="18"/>
        <v>206</v>
      </c>
      <c r="N46" s="41">
        <f>M46</f>
        <v>206</v>
      </c>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sheetData>
  <mergeCells count="5">
    <mergeCell ref="A1:AE1"/>
    <mergeCell ref="A3:AE3"/>
    <mergeCell ref="A5:G5"/>
    <mergeCell ref="A35:N35"/>
    <mergeCell ref="A44:N4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Z200"/>
  <sheetViews>
    <sheetView topLeftCell="G11" workbookViewId="0">
      <selection sqref="A1:Q1"/>
    </sheetView>
  </sheetViews>
  <sheetFormatPr baseColWidth="10" defaultColWidth="8.83203125" defaultRowHeight="15"/>
  <cols>
    <col min="1" max="1" width="30" customWidth="1"/>
    <col min="2" max="3" width="16" customWidth="1"/>
    <col min="4" max="4" width="15" customWidth="1"/>
    <col min="5" max="5" width="16" customWidth="1"/>
    <col min="6" max="6" width="18" customWidth="1"/>
    <col min="7" max="7" width="44" customWidth="1"/>
    <col min="8" max="15" width="12" customWidth="1"/>
    <col min="16" max="16" width="24" customWidth="1"/>
    <col min="17" max="17" width="34" customWidth="1"/>
  </cols>
  <sheetData>
    <row r="1" spans="1:52" ht="37.25" customHeight="1">
      <c r="A1" s="111" t="s">
        <v>350</v>
      </c>
      <c r="B1" s="111"/>
      <c r="C1" s="111"/>
      <c r="D1" s="111"/>
      <c r="E1" s="111"/>
      <c r="F1" s="111"/>
      <c r="G1" s="111"/>
      <c r="H1" s="111"/>
      <c r="I1" s="111"/>
      <c r="J1" s="111"/>
      <c r="K1" s="111"/>
      <c r="L1" s="111"/>
      <c r="M1" s="111"/>
      <c r="N1" s="111"/>
      <c r="O1" s="111"/>
      <c r="P1" s="111"/>
      <c r="Q1" s="11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112" t="s">
        <v>351</v>
      </c>
      <c r="B3" s="112"/>
      <c r="C3" s="112"/>
      <c r="D3" s="112"/>
      <c r="E3" s="112"/>
      <c r="F3" s="112"/>
      <c r="G3" s="112"/>
      <c r="H3" s="112"/>
      <c r="I3" s="112"/>
      <c r="J3" s="112"/>
      <c r="K3" s="112"/>
      <c r="L3" s="112"/>
      <c r="M3" s="112"/>
      <c r="N3" s="112"/>
      <c r="O3" s="112"/>
      <c r="P3" s="112"/>
      <c r="Q3" s="112"/>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26.75" customHeight="1">
      <c r="A5" s="90" t="s">
        <v>352</v>
      </c>
      <c r="B5" s="90"/>
      <c r="C5" s="90"/>
      <c r="D5" s="90"/>
      <c r="E5" s="90"/>
      <c r="F5" s="90"/>
      <c r="G5" s="90"/>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6">
      <c r="A6" s="38" t="s">
        <v>353</v>
      </c>
      <c r="B6" s="38" t="s">
        <v>354</v>
      </c>
      <c r="C6" s="38" t="s">
        <v>60</v>
      </c>
      <c r="D6" s="38" t="s">
        <v>355</v>
      </c>
      <c r="E6" s="38" t="s">
        <v>356</v>
      </c>
      <c r="F6" s="38" t="s">
        <v>357</v>
      </c>
      <c r="G6" s="38" t="s">
        <v>358</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16">
      <c r="A7" s="8" t="s">
        <v>359</v>
      </c>
      <c r="B7" s="8" t="s">
        <v>360</v>
      </c>
      <c r="C7" s="8" t="s">
        <v>68</v>
      </c>
      <c r="D7" s="42">
        <v>900</v>
      </c>
      <c r="E7" s="12">
        <v>46113</v>
      </c>
      <c r="F7" s="43">
        <v>5</v>
      </c>
      <c r="G7" s="44" t="s">
        <v>361</v>
      </c>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ht="32">
      <c r="A8" s="8" t="s">
        <v>362</v>
      </c>
      <c r="B8" s="8" t="s">
        <v>360</v>
      </c>
      <c r="C8" s="8" t="s">
        <v>71</v>
      </c>
      <c r="D8" s="42">
        <v>420</v>
      </c>
      <c r="E8" s="12">
        <v>46054</v>
      </c>
      <c r="F8" s="43">
        <v>3</v>
      </c>
      <c r="G8" s="44" t="s">
        <v>363</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16">
      <c r="A9" s="8" t="s">
        <v>364</v>
      </c>
      <c r="B9" s="8" t="s">
        <v>365</v>
      </c>
      <c r="C9" s="8" t="s">
        <v>67</v>
      </c>
      <c r="D9" s="42">
        <v>650</v>
      </c>
      <c r="E9" s="12">
        <v>46204</v>
      </c>
      <c r="F9" s="43">
        <v>7</v>
      </c>
      <c r="G9" s="44" t="s">
        <v>366</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ht="16">
      <c r="A10" s="8" t="s">
        <v>367</v>
      </c>
      <c r="B10" s="8" t="s">
        <v>365</v>
      </c>
      <c r="C10" s="8" t="s">
        <v>70</v>
      </c>
      <c r="D10" s="42">
        <v>280</v>
      </c>
      <c r="E10" s="12">
        <v>46143</v>
      </c>
      <c r="F10" s="43">
        <v>5</v>
      </c>
      <c r="G10" s="44" t="s">
        <v>368</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ht="16">
      <c r="A11" s="8" t="s">
        <v>369</v>
      </c>
      <c r="B11" s="8" t="s">
        <v>360</v>
      </c>
      <c r="C11" s="8" t="s">
        <v>69</v>
      </c>
      <c r="D11" s="42">
        <v>520</v>
      </c>
      <c r="E11" s="12">
        <v>46266</v>
      </c>
      <c r="F11" s="43">
        <v>5</v>
      </c>
      <c r="G11" s="44" t="s">
        <v>370</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ht="16">
      <c r="A12" s="8" t="s">
        <v>371</v>
      </c>
      <c r="B12" s="8" t="s">
        <v>372</v>
      </c>
      <c r="C12" s="8" t="s">
        <v>68</v>
      </c>
      <c r="D12" s="42">
        <v>310</v>
      </c>
      <c r="E12" s="12">
        <v>46327</v>
      </c>
      <c r="F12" s="43">
        <v>6</v>
      </c>
      <c r="G12" s="44" t="s">
        <v>373</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ht="26.75" customHeight="1">
      <c r="A15" s="90" t="s">
        <v>374</v>
      </c>
      <c r="B15" s="90"/>
      <c r="C15" s="90"/>
      <c r="D15" s="90"/>
      <c r="E15" s="90"/>
      <c r="F15" s="90"/>
      <c r="G15" s="90"/>
      <c r="H15" s="90"/>
      <c r="I15" s="90"/>
      <c r="J15" s="90"/>
      <c r="K15" s="90"/>
      <c r="L15" s="90"/>
      <c r="M15" s="90"/>
      <c r="N15" s="90"/>
      <c r="O15" s="90"/>
      <c r="P15" s="90"/>
      <c r="Q15" s="90"/>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ht="16">
      <c r="A16" s="38" t="s">
        <v>353</v>
      </c>
      <c r="B16" s="38" t="s">
        <v>57</v>
      </c>
      <c r="C16" s="38" t="s">
        <v>134</v>
      </c>
      <c r="D16" s="38" t="s">
        <v>135</v>
      </c>
      <c r="E16" s="38" t="s">
        <v>136</v>
      </c>
      <c r="F16" s="38" t="s">
        <v>137</v>
      </c>
      <c r="G16" s="38" t="s">
        <v>138</v>
      </c>
      <c r="H16" s="38" t="s">
        <v>139</v>
      </c>
      <c r="I16" s="38" t="s">
        <v>140</v>
      </c>
      <c r="J16" s="38" t="s">
        <v>141</v>
      </c>
      <c r="K16" s="38" t="s">
        <v>142</v>
      </c>
      <c r="L16" s="38" t="s">
        <v>143</v>
      </c>
      <c r="M16" s="38" t="s">
        <v>144</v>
      </c>
      <c r="N16" s="38" t="s">
        <v>145</v>
      </c>
      <c r="O16" s="38" t="s">
        <v>346</v>
      </c>
      <c r="P16" s="38" t="s">
        <v>107</v>
      </c>
      <c r="Q16" s="38" t="s">
        <v>173</v>
      </c>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ht="16">
      <c r="A17" s="1" t="s">
        <v>359</v>
      </c>
      <c r="B17" s="1" t="s">
        <v>232</v>
      </c>
      <c r="C17" s="15">
        <f>IF(MONTH($E$7)=1,$D$7,0)</f>
        <v>0</v>
      </c>
      <c r="D17" s="15">
        <f>IF(MONTH($E$7)=2,$D$7,0)</f>
        <v>0</v>
      </c>
      <c r="E17" s="15">
        <f>IF(MONTH($E$7)=3,$D$7,0)</f>
        <v>0</v>
      </c>
      <c r="F17" s="15">
        <f>IF(MONTH($E$7)=4,$D$7,0)</f>
        <v>900</v>
      </c>
      <c r="G17" s="15">
        <f>IF(MONTH($E$7)=5,$D$7,0)</f>
        <v>0</v>
      </c>
      <c r="H17" s="15">
        <f>IF(MONTH($E$7)=6,$D$7,0)</f>
        <v>0</v>
      </c>
      <c r="I17" s="15">
        <f>IF(MONTH($E$7)=7,$D$7,0)</f>
        <v>0</v>
      </c>
      <c r="J17" s="15">
        <f>IF(MONTH($E$7)=8,$D$7,0)</f>
        <v>0</v>
      </c>
      <c r="K17" s="15">
        <f>IF(MONTH($E$7)=9,$D$7,0)</f>
        <v>0</v>
      </c>
      <c r="L17" s="15">
        <f>IF(MONTH($E$7)=10,$D$7,0)</f>
        <v>0</v>
      </c>
      <c r="M17" s="15">
        <f>IF(MONTH($E$7)=11,$D$7,0)</f>
        <v>0</v>
      </c>
      <c r="N17" s="15">
        <f>IF(MONTH($E$7)=12,$D$7,0)</f>
        <v>0</v>
      </c>
      <c r="O17" s="15">
        <f t="shared" ref="O17:O28" si="0">SUM(C17:N17)</f>
        <v>900</v>
      </c>
      <c r="P17" s="4" t="s">
        <v>227</v>
      </c>
      <c r="Q17" s="4" t="s">
        <v>375</v>
      </c>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ht="32">
      <c r="A18" s="1" t="s">
        <v>359</v>
      </c>
      <c r="B18" s="1" t="s">
        <v>237</v>
      </c>
      <c r="C18" s="15">
        <f>IF(1&gt;MONTH($E$7),$D$7/($F$7*12),0)</f>
        <v>0</v>
      </c>
      <c r="D18" s="15">
        <f>IF(2&gt;MONTH($E$7),$D$7/($F$7*12),0)</f>
        <v>0</v>
      </c>
      <c r="E18" s="15">
        <f>IF(3&gt;MONTH($E$7),$D$7/($F$7*12),0)</f>
        <v>0</v>
      </c>
      <c r="F18" s="15">
        <f>IF(4&gt;MONTH($E$7),$D$7/($F$7*12),0)</f>
        <v>0</v>
      </c>
      <c r="G18" s="15">
        <f>IF(5&gt;MONTH($E$7),$D$7/($F$7*12),0)</f>
        <v>15</v>
      </c>
      <c r="H18" s="15">
        <f>IF(6&gt;MONTH($E$7),$D$7/($F$7*12),0)</f>
        <v>15</v>
      </c>
      <c r="I18" s="15">
        <f>IF(7&gt;MONTH($E$7),$D$7/($F$7*12),0)</f>
        <v>15</v>
      </c>
      <c r="J18" s="15">
        <f>IF(8&gt;MONTH($E$7),$D$7/($F$7*12),0)</f>
        <v>15</v>
      </c>
      <c r="K18" s="15">
        <f>IF(9&gt;MONTH($E$7),$D$7/($F$7*12),0)</f>
        <v>15</v>
      </c>
      <c r="L18" s="15">
        <f>IF(10&gt;MONTH($E$7),$D$7/($F$7*12),0)</f>
        <v>15</v>
      </c>
      <c r="M18" s="15">
        <f>IF(11&gt;MONTH($E$7),$D$7/($F$7*12),0)</f>
        <v>15</v>
      </c>
      <c r="N18" s="15">
        <f>IF(12&gt;MONTH($E$7),$D$7/($F$7*12),0)</f>
        <v>15</v>
      </c>
      <c r="O18" s="15">
        <f t="shared" si="0"/>
        <v>120</v>
      </c>
      <c r="P18" s="4" t="s">
        <v>201</v>
      </c>
      <c r="Q18" s="4" t="s">
        <v>376</v>
      </c>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ht="16">
      <c r="A19" s="1" t="s">
        <v>362</v>
      </c>
      <c r="B19" s="1" t="s">
        <v>232</v>
      </c>
      <c r="C19" s="15">
        <f>IF(MONTH($E$8)=1,$D$8,0)</f>
        <v>0</v>
      </c>
      <c r="D19" s="15">
        <f>IF(MONTH($E$8)=2,$D$8,0)</f>
        <v>420</v>
      </c>
      <c r="E19" s="15">
        <f>IF(MONTH($E$8)=3,$D$8,0)</f>
        <v>0</v>
      </c>
      <c r="F19" s="15">
        <f>IF(MONTH($E$8)=4,$D$8,0)</f>
        <v>0</v>
      </c>
      <c r="G19" s="15">
        <f>IF(MONTH($E$8)=5,$D$8,0)</f>
        <v>0</v>
      </c>
      <c r="H19" s="15">
        <f>IF(MONTH($E$8)=6,$D$8,0)</f>
        <v>0</v>
      </c>
      <c r="I19" s="15">
        <f>IF(MONTH($E$8)=7,$D$8,0)</f>
        <v>0</v>
      </c>
      <c r="J19" s="15">
        <f>IF(MONTH($E$8)=8,$D$8,0)</f>
        <v>0</v>
      </c>
      <c r="K19" s="15">
        <f>IF(MONTH($E$8)=9,$D$8,0)</f>
        <v>0</v>
      </c>
      <c r="L19" s="15">
        <f>IF(MONTH($E$8)=10,$D$8,0)</f>
        <v>0</v>
      </c>
      <c r="M19" s="15">
        <f>IF(MONTH($E$8)=11,$D$8,0)</f>
        <v>0</v>
      </c>
      <c r="N19" s="15">
        <f>IF(MONTH($E$8)=12,$D$8,0)</f>
        <v>0</v>
      </c>
      <c r="O19" s="15">
        <f t="shared" si="0"/>
        <v>420</v>
      </c>
      <c r="P19" s="4" t="s">
        <v>227</v>
      </c>
      <c r="Q19" s="4" t="s">
        <v>375</v>
      </c>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ht="32">
      <c r="A20" s="1" t="s">
        <v>362</v>
      </c>
      <c r="B20" s="1" t="s">
        <v>237</v>
      </c>
      <c r="C20" s="15">
        <f>IF(1&gt;MONTH($E$8),$D$8/($F$8*12),0)</f>
        <v>0</v>
      </c>
      <c r="D20" s="15">
        <f>IF(2&gt;MONTH($E$8),$D$8/($F$8*12),0)</f>
        <v>0</v>
      </c>
      <c r="E20" s="15">
        <f>IF(3&gt;MONTH($E$8),$D$8/($F$8*12),0)</f>
        <v>11.666666666666666</v>
      </c>
      <c r="F20" s="15">
        <f>IF(4&gt;MONTH($E$8),$D$8/($F$8*12),0)</f>
        <v>11.666666666666666</v>
      </c>
      <c r="G20" s="15">
        <f>IF(5&gt;MONTH($E$8),$D$8/($F$8*12),0)</f>
        <v>11.666666666666666</v>
      </c>
      <c r="H20" s="15">
        <f>IF(6&gt;MONTH($E$8),$D$8/($F$8*12),0)</f>
        <v>11.666666666666666</v>
      </c>
      <c r="I20" s="15">
        <f>IF(7&gt;MONTH($E$8),$D$8/($F$8*12),0)</f>
        <v>11.666666666666666</v>
      </c>
      <c r="J20" s="15">
        <f>IF(8&gt;MONTH($E$8),$D$8/($F$8*12),0)</f>
        <v>11.666666666666666</v>
      </c>
      <c r="K20" s="15">
        <f>IF(9&gt;MONTH($E$8),$D$8/($F$8*12),0)</f>
        <v>11.666666666666666</v>
      </c>
      <c r="L20" s="15">
        <f>IF(10&gt;MONTH($E$8),$D$8/($F$8*12),0)</f>
        <v>11.666666666666666</v>
      </c>
      <c r="M20" s="15">
        <f>IF(11&gt;MONTH($E$8),$D$8/($F$8*12),0)</f>
        <v>11.666666666666666</v>
      </c>
      <c r="N20" s="15">
        <f>IF(12&gt;MONTH($E$8),$D$8/($F$8*12),0)</f>
        <v>11.666666666666666</v>
      </c>
      <c r="O20" s="15">
        <f t="shared" si="0"/>
        <v>116.66666666666669</v>
      </c>
      <c r="P20" s="4" t="s">
        <v>201</v>
      </c>
      <c r="Q20" s="4" t="s">
        <v>376</v>
      </c>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ht="16">
      <c r="A21" s="1" t="s">
        <v>364</v>
      </c>
      <c r="B21" s="1" t="s">
        <v>232</v>
      </c>
      <c r="C21" s="15">
        <f>IF(MONTH($E$9)=1,$D$9,0)</f>
        <v>0</v>
      </c>
      <c r="D21" s="15">
        <f>IF(MONTH($E$9)=2,$D$9,0)</f>
        <v>0</v>
      </c>
      <c r="E21" s="15">
        <f>IF(MONTH($E$9)=3,$D$9,0)</f>
        <v>0</v>
      </c>
      <c r="F21" s="15">
        <f>IF(MONTH($E$9)=4,$D$9,0)</f>
        <v>0</v>
      </c>
      <c r="G21" s="15">
        <f>IF(MONTH($E$9)=5,$D$9,0)</f>
        <v>0</v>
      </c>
      <c r="H21" s="15">
        <f>IF(MONTH($E$9)=6,$D$9,0)</f>
        <v>0</v>
      </c>
      <c r="I21" s="15">
        <f>IF(MONTH($E$9)=7,$D$9,0)</f>
        <v>650</v>
      </c>
      <c r="J21" s="15">
        <f>IF(MONTH($E$9)=8,$D$9,0)</f>
        <v>0</v>
      </c>
      <c r="K21" s="15">
        <f>IF(MONTH($E$9)=9,$D$9,0)</f>
        <v>0</v>
      </c>
      <c r="L21" s="15">
        <f>IF(MONTH($E$9)=10,$D$9,0)</f>
        <v>0</v>
      </c>
      <c r="M21" s="15">
        <f>IF(MONTH($E$9)=11,$D$9,0)</f>
        <v>0</v>
      </c>
      <c r="N21" s="15">
        <f>IF(MONTH($E$9)=12,$D$9,0)</f>
        <v>0</v>
      </c>
      <c r="O21" s="15">
        <f t="shared" si="0"/>
        <v>650</v>
      </c>
      <c r="P21" s="4" t="s">
        <v>227</v>
      </c>
      <c r="Q21" s="4" t="s">
        <v>375</v>
      </c>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ht="32">
      <c r="A22" s="1" t="s">
        <v>364</v>
      </c>
      <c r="B22" s="1" t="s">
        <v>237</v>
      </c>
      <c r="C22" s="15">
        <f>IF(1&gt;MONTH($E$9),$D$9/($F$9*12),0)</f>
        <v>0</v>
      </c>
      <c r="D22" s="15">
        <f>IF(2&gt;MONTH($E$9),$D$9/($F$9*12),0)</f>
        <v>0</v>
      </c>
      <c r="E22" s="15">
        <f>IF(3&gt;MONTH($E$9),$D$9/($F$9*12),0)</f>
        <v>0</v>
      </c>
      <c r="F22" s="15">
        <f>IF(4&gt;MONTH($E$9),$D$9/($F$9*12),0)</f>
        <v>0</v>
      </c>
      <c r="G22" s="15">
        <f>IF(5&gt;MONTH($E$9),$D$9/($F$9*12),0)</f>
        <v>0</v>
      </c>
      <c r="H22" s="15">
        <f>IF(6&gt;MONTH($E$9),$D$9/($F$9*12),0)</f>
        <v>0</v>
      </c>
      <c r="I22" s="15">
        <f>IF(7&gt;MONTH($E$9),$D$9/($F$9*12),0)</f>
        <v>0</v>
      </c>
      <c r="J22" s="15">
        <f>IF(8&gt;MONTH($E$9),$D$9/($F$9*12),0)</f>
        <v>7.7380952380952381</v>
      </c>
      <c r="K22" s="15">
        <f>IF(9&gt;MONTH($E$9),$D$9/($F$9*12),0)</f>
        <v>7.7380952380952381</v>
      </c>
      <c r="L22" s="15">
        <f>IF(10&gt;MONTH($E$9),$D$9/($F$9*12),0)</f>
        <v>7.7380952380952381</v>
      </c>
      <c r="M22" s="15">
        <f>IF(11&gt;MONTH($E$9),$D$9/($F$9*12),0)</f>
        <v>7.7380952380952381</v>
      </c>
      <c r="N22" s="15">
        <f>IF(12&gt;MONTH($E$9),$D$9/($F$9*12),0)</f>
        <v>7.7380952380952381</v>
      </c>
      <c r="O22" s="15">
        <f t="shared" si="0"/>
        <v>38.69047619047619</v>
      </c>
      <c r="P22" s="4" t="s">
        <v>201</v>
      </c>
      <c r="Q22" s="4" t="s">
        <v>376</v>
      </c>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ht="16">
      <c r="A23" s="1" t="s">
        <v>367</v>
      </c>
      <c r="B23" s="1" t="s">
        <v>232</v>
      </c>
      <c r="C23" s="15">
        <f>IF(MONTH($E$10)=1,$D$10,0)</f>
        <v>0</v>
      </c>
      <c r="D23" s="15">
        <f>IF(MONTH($E$10)=2,$D$10,0)</f>
        <v>0</v>
      </c>
      <c r="E23" s="15">
        <f>IF(MONTH($E$10)=3,$D$10,0)</f>
        <v>0</v>
      </c>
      <c r="F23" s="15">
        <f>IF(MONTH($E$10)=4,$D$10,0)</f>
        <v>0</v>
      </c>
      <c r="G23" s="15">
        <f>IF(MONTH($E$10)=5,$D$10,0)</f>
        <v>280</v>
      </c>
      <c r="H23" s="15">
        <f>IF(MONTH($E$10)=6,$D$10,0)</f>
        <v>0</v>
      </c>
      <c r="I23" s="15">
        <f>IF(MONTH($E$10)=7,$D$10,0)</f>
        <v>0</v>
      </c>
      <c r="J23" s="15">
        <f>IF(MONTH($E$10)=8,$D$10,0)</f>
        <v>0</v>
      </c>
      <c r="K23" s="15">
        <f>IF(MONTH($E$10)=9,$D$10,0)</f>
        <v>0</v>
      </c>
      <c r="L23" s="15">
        <f>IF(MONTH($E$10)=10,$D$10,0)</f>
        <v>0</v>
      </c>
      <c r="M23" s="15">
        <f>IF(MONTH($E$10)=11,$D$10,0)</f>
        <v>0</v>
      </c>
      <c r="N23" s="15">
        <f>IF(MONTH($E$10)=12,$D$10,0)</f>
        <v>0</v>
      </c>
      <c r="O23" s="15">
        <f t="shared" si="0"/>
        <v>280</v>
      </c>
      <c r="P23" s="4" t="s">
        <v>227</v>
      </c>
      <c r="Q23" s="4" t="s">
        <v>375</v>
      </c>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ht="32">
      <c r="A24" s="1" t="s">
        <v>367</v>
      </c>
      <c r="B24" s="1" t="s">
        <v>237</v>
      </c>
      <c r="C24" s="15">
        <f>IF(1&gt;MONTH($E$10),$D$10/($F$10*12),0)</f>
        <v>0</v>
      </c>
      <c r="D24" s="15">
        <f>IF(2&gt;MONTH($E$10),$D$10/($F$10*12),0)</f>
        <v>0</v>
      </c>
      <c r="E24" s="15">
        <f>IF(3&gt;MONTH($E$10),$D$10/($F$10*12),0)</f>
        <v>0</v>
      </c>
      <c r="F24" s="15">
        <f>IF(4&gt;MONTH($E$10),$D$10/($F$10*12),0)</f>
        <v>0</v>
      </c>
      <c r="G24" s="15">
        <f>IF(5&gt;MONTH($E$10),$D$10/($F$10*12),0)</f>
        <v>0</v>
      </c>
      <c r="H24" s="15">
        <f>IF(6&gt;MONTH($E$10),$D$10/($F$10*12),0)</f>
        <v>4.666666666666667</v>
      </c>
      <c r="I24" s="15">
        <f>IF(7&gt;MONTH($E$10),$D$10/($F$10*12),0)</f>
        <v>4.666666666666667</v>
      </c>
      <c r="J24" s="15">
        <f>IF(8&gt;MONTH($E$10),$D$10/($F$10*12),0)</f>
        <v>4.666666666666667</v>
      </c>
      <c r="K24" s="15">
        <f>IF(9&gt;MONTH($E$10),$D$10/($F$10*12),0)</f>
        <v>4.666666666666667</v>
      </c>
      <c r="L24" s="15">
        <f>IF(10&gt;MONTH($E$10),$D$10/($F$10*12),0)</f>
        <v>4.666666666666667</v>
      </c>
      <c r="M24" s="15">
        <f>IF(11&gt;MONTH($E$10),$D$10/($F$10*12),0)</f>
        <v>4.666666666666667</v>
      </c>
      <c r="N24" s="15">
        <f>IF(12&gt;MONTH($E$10),$D$10/($F$10*12),0)</f>
        <v>4.666666666666667</v>
      </c>
      <c r="O24" s="15">
        <f t="shared" si="0"/>
        <v>32.666666666666671</v>
      </c>
      <c r="P24" s="4" t="s">
        <v>201</v>
      </c>
      <c r="Q24" s="4" t="s">
        <v>376</v>
      </c>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ht="16">
      <c r="A25" s="1" t="s">
        <v>369</v>
      </c>
      <c r="B25" s="1" t="s">
        <v>232</v>
      </c>
      <c r="C25" s="15">
        <f>IF(MONTH($E$11)=1,$D$11,0)</f>
        <v>0</v>
      </c>
      <c r="D25" s="15">
        <f>IF(MONTH($E$11)=2,$D$11,0)</f>
        <v>0</v>
      </c>
      <c r="E25" s="15">
        <f>IF(MONTH($E$11)=3,$D$11,0)</f>
        <v>0</v>
      </c>
      <c r="F25" s="15">
        <f>IF(MONTH($E$11)=4,$D$11,0)</f>
        <v>0</v>
      </c>
      <c r="G25" s="15">
        <f>IF(MONTH($E$11)=5,$D$11,0)</f>
        <v>0</v>
      </c>
      <c r="H25" s="15">
        <f>IF(MONTH($E$11)=6,$D$11,0)</f>
        <v>0</v>
      </c>
      <c r="I25" s="15">
        <f>IF(MONTH($E$11)=7,$D$11,0)</f>
        <v>0</v>
      </c>
      <c r="J25" s="15">
        <f>IF(MONTH($E$11)=8,$D$11,0)</f>
        <v>0</v>
      </c>
      <c r="K25" s="15">
        <f>IF(MONTH($E$11)=9,$D$11,0)</f>
        <v>520</v>
      </c>
      <c r="L25" s="15">
        <f>IF(MONTH($E$11)=10,$D$11,0)</f>
        <v>0</v>
      </c>
      <c r="M25" s="15">
        <f>IF(MONTH($E$11)=11,$D$11,0)</f>
        <v>0</v>
      </c>
      <c r="N25" s="15">
        <f>IF(MONTH($E$11)=12,$D$11,0)</f>
        <v>0</v>
      </c>
      <c r="O25" s="15">
        <f t="shared" si="0"/>
        <v>520</v>
      </c>
      <c r="P25" s="4" t="s">
        <v>227</v>
      </c>
      <c r="Q25" s="4" t="s">
        <v>375</v>
      </c>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ht="32">
      <c r="A26" s="1" t="s">
        <v>369</v>
      </c>
      <c r="B26" s="1" t="s">
        <v>237</v>
      </c>
      <c r="C26" s="15">
        <f>IF(1&gt;MONTH($E$11),$D$11/($F$11*12),0)</f>
        <v>0</v>
      </c>
      <c r="D26" s="15">
        <f>IF(2&gt;MONTH($E$11),$D$11/($F$11*12),0)</f>
        <v>0</v>
      </c>
      <c r="E26" s="15">
        <f>IF(3&gt;MONTH($E$11),$D$11/($F$11*12),0)</f>
        <v>0</v>
      </c>
      <c r="F26" s="15">
        <f>IF(4&gt;MONTH($E$11),$D$11/($F$11*12),0)</f>
        <v>0</v>
      </c>
      <c r="G26" s="15">
        <f>IF(5&gt;MONTH($E$11),$D$11/($F$11*12),0)</f>
        <v>0</v>
      </c>
      <c r="H26" s="15">
        <f>IF(6&gt;MONTH($E$11),$D$11/($F$11*12),0)</f>
        <v>0</v>
      </c>
      <c r="I26" s="15">
        <f>IF(7&gt;MONTH($E$11),$D$11/($F$11*12),0)</f>
        <v>0</v>
      </c>
      <c r="J26" s="15">
        <f>IF(8&gt;MONTH($E$11),$D$11/($F$11*12),0)</f>
        <v>0</v>
      </c>
      <c r="K26" s="15">
        <f>IF(9&gt;MONTH($E$11),$D$11/($F$11*12),0)</f>
        <v>0</v>
      </c>
      <c r="L26" s="15">
        <f>IF(10&gt;MONTH($E$11),$D$11/($F$11*12),0)</f>
        <v>8.6666666666666661</v>
      </c>
      <c r="M26" s="15">
        <f>IF(11&gt;MONTH($E$11),$D$11/($F$11*12),0)</f>
        <v>8.6666666666666661</v>
      </c>
      <c r="N26" s="15">
        <f>IF(12&gt;MONTH($E$11),$D$11/($F$11*12),0)</f>
        <v>8.6666666666666661</v>
      </c>
      <c r="O26" s="15">
        <f t="shared" si="0"/>
        <v>26</v>
      </c>
      <c r="P26" s="4" t="s">
        <v>201</v>
      </c>
      <c r="Q26" s="4" t="s">
        <v>376</v>
      </c>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ht="16">
      <c r="A27" s="1" t="s">
        <v>371</v>
      </c>
      <c r="B27" s="1" t="s">
        <v>232</v>
      </c>
      <c r="C27" s="15">
        <f>IF(MONTH($E$12)=1,$D$12,0)</f>
        <v>0</v>
      </c>
      <c r="D27" s="15">
        <f>IF(MONTH($E$12)=2,$D$12,0)</f>
        <v>0</v>
      </c>
      <c r="E27" s="15">
        <f>IF(MONTH($E$12)=3,$D$12,0)</f>
        <v>0</v>
      </c>
      <c r="F27" s="15">
        <f>IF(MONTH($E$12)=4,$D$12,0)</f>
        <v>0</v>
      </c>
      <c r="G27" s="15">
        <f>IF(MONTH($E$12)=5,$D$12,0)</f>
        <v>0</v>
      </c>
      <c r="H27" s="15">
        <f>IF(MONTH($E$12)=6,$D$12,0)</f>
        <v>0</v>
      </c>
      <c r="I27" s="15">
        <f>IF(MONTH($E$12)=7,$D$12,0)</f>
        <v>0</v>
      </c>
      <c r="J27" s="15">
        <f>IF(MONTH($E$12)=8,$D$12,0)</f>
        <v>0</v>
      </c>
      <c r="K27" s="15">
        <f>IF(MONTH($E$12)=9,$D$12,0)</f>
        <v>0</v>
      </c>
      <c r="L27" s="15">
        <f>IF(MONTH($E$12)=10,$D$12,0)</f>
        <v>0</v>
      </c>
      <c r="M27" s="15">
        <f>IF(MONTH($E$12)=11,$D$12,0)</f>
        <v>310</v>
      </c>
      <c r="N27" s="15">
        <f>IF(MONTH($E$12)=12,$D$12,0)</f>
        <v>0</v>
      </c>
      <c r="O27" s="15">
        <f t="shared" si="0"/>
        <v>310</v>
      </c>
      <c r="P27" s="4" t="s">
        <v>227</v>
      </c>
      <c r="Q27" s="4" t="s">
        <v>375</v>
      </c>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ht="32">
      <c r="A28" s="1" t="s">
        <v>371</v>
      </c>
      <c r="B28" s="1" t="s">
        <v>237</v>
      </c>
      <c r="C28" s="15">
        <f>IF(1&gt;MONTH($E$12),$D$12/($F$12*12),0)</f>
        <v>0</v>
      </c>
      <c r="D28" s="15">
        <f>IF(2&gt;MONTH($E$12),$D$12/($F$12*12),0)</f>
        <v>0</v>
      </c>
      <c r="E28" s="15">
        <f>IF(3&gt;MONTH($E$12),$D$12/($F$12*12),0)</f>
        <v>0</v>
      </c>
      <c r="F28" s="15">
        <f>IF(4&gt;MONTH($E$12),$D$12/($F$12*12),0)</f>
        <v>0</v>
      </c>
      <c r="G28" s="15">
        <f>IF(5&gt;MONTH($E$12),$D$12/($F$12*12),0)</f>
        <v>0</v>
      </c>
      <c r="H28" s="15">
        <f>IF(6&gt;MONTH($E$12),$D$12/($F$12*12),0)</f>
        <v>0</v>
      </c>
      <c r="I28" s="15">
        <f>IF(7&gt;MONTH($E$12),$D$12/($F$12*12),0)</f>
        <v>0</v>
      </c>
      <c r="J28" s="15">
        <f>IF(8&gt;MONTH($E$12),$D$12/($F$12*12),0)</f>
        <v>0</v>
      </c>
      <c r="K28" s="15">
        <f>IF(9&gt;MONTH($E$12),$D$12/($F$12*12),0)</f>
        <v>0</v>
      </c>
      <c r="L28" s="15">
        <f>IF(10&gt;MONTH($E$12),$D$12/($F$12*12),0)</f>
        <v>0</v>
      </c>
      <c r="M28" s="15">
        <f>IF(11&gt;MONTH($E$12),$D$12/($F$12*12),0)</f>
        <v>0</v>
      </c>
      <c r="N28" s="15">
        <f>IF(12&gt;MONTH($E$12),$D$12/($F$12*12),0)</f>
        <v>4.3055555555555554</v>
      </c>
      <c r="O28" s="15">
        <f t="shared" si="0"/>
        <v>4.3055555555555554</v>
      </c>
      <c r="P28" s="4" t="s">
        <v>201</v>
      </c>
      <c r="Q28" s="4" t="s">
        <v>376</v>
      </c>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ht="26.75" customHeight="1">
      <c r="A31" s="90" t="s">
        <v>377</v>
      </c>
      <c r="B31" s="90"/>
      <c r="C31" s="90"/>
      <c r="D31" s="90"/>
      <c r="E31" s="90"/>
      <c r="F31" s="90"/>
      <c r="G31" s="90"/>
      <c r="H31" s="90"/>
      <c r="I31" s="90"/>
      <c r="J31" s="90"/>
      <c r="K31" s="90"/>
      <c r="L31" s="90"/>
      <c r="M31" s="90"/>
      <c r="N31" s="90"/>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ht="16">
      <c r="A32" s="38" t="s">
        <v>57</v>
      </c>
      <c r="B32" s="38" t="s">
        <v>134</v>
      </c>
      <c r="C32" s="38" t="s">
        <v>135</v>
      </c>
      <c r="D32" s="38" t="s">
        <v>136</v>
      </c>
      <c r="E32" s="38" t="s">
        <v>137</v>
      </c>
      <c r="F32" s="38" t="s">
        <v>138</v>
      </c>
      <c r="G32" s="38" t="s">
        <v>139</v>
      </c>
      <c r="H32" s="38" t="s">
        <v>140</v>
      </c>
      <c r="I32" s="38" t="s">
        <v>141</v>
      </c>
      <c r="J32" s="38" t="s">
        <v>142</v>
      </c>
      <c r="K32" s="38" t="s">
        <v>143</v>
      </c>
      <c r="L32" s="38" t="s">
        <v>144</v>
      </c>
      <c r="M32" s="38" t="s">
        <v>145</v>
      </c>
      <c r="N32" s="38" t="s">
        <v>346</v>
      </c>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c r="A33" s="1" t="s">
        <v>232</v>
      </c>
      <c r="B33" s="15">
        <f t="shared" ref="B33:M33" si="1">C17+C19+C21+C23+C25+C27</f>
        <v>0</v>
      </c>
      <c r="C33" s="15">
        <f t="shared" si="1"/>
        <v>420</v>
      </c>
      <c r="D33" s="15">
        <f t="shared" si="1"/>
        <v>0</v>
      </c>
      <c r="E33" s="15">
        <f t="shared" si="1"/>
        <v>900</v>
      </c>
      <c r="F33" s="15">
        <f t="shared" si="1"/>
        <v>280</v>
      </c>
      <c r="G33" s="15">
        <f t="shared" si="1"/>
        <v>0</v>
      </c>
      <c r="H33" s="15">
        <f t="shared" si="1"/>
        <v>650</v>
      </c>
      <c r="I33" s="15">
        <f t="shared" si="1"/>
        <v>0</v>
      </c>
      <c r="J33" s="15">
        <f t="shared" si="1"/>
        <v>520</v>
      </c>
      <c r="K33" s="15">
        <f t="shared" si="1"/>
        <v>0</v>
      </c>
      <c r="L33" s="15">
        <f t="shared" si="1"/>
        <v>310</v>
      </c>
      <c r="M33" s="15">
        <f t="shared" si="1"/>
        <v>0</v>
      </c>
      <c r="N33" s="15">
        <f>SUM(B33:M33)</f>
        <v>3080</v>
      </c>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c r="A34" s="1" t="s">
        <v>237</v>
      </c>
      <c r="B34" s="15">
        <f t="shared" ref="B34:M34" si="2">C18+C20+C22+C24+C26+C28</f>
        <v>0</v>
      </c>
      <c r="C34" s="15">
        <f t="shared" si="2"/>
        <v>0</v>
      </c>
      <c r="D34" s="15">
        <f t="shared" si="2"/>
        <v>11.666666666666666</v>
      </c>
      <c r="E34" s="15">
        <f t="shared" si="2"/>
        <v>11.666666666666666</v>
      </c>
      <c r="F34" s="15">
        <f t="shared" si="2"/>
        <v>26.666666666666664</v>
      </c>
      <c r="G34" s="15">
        <f t="shared" si="2"/>
        <v>31.333333333333332</v>
      </c>
      <c r="H34" s="15">
        <f t="shared" si="2"/>
        <v>31.333333333333332</v>
      </c>
      <c r="I34" s="15">
        <f t="shared" si="2"/>
        <v>39.071428571428569</v>
      </c>
      <c r="J34" s="15">
        <f t="shared" si="2"/>
        <v>39.071428571428569</v>
      </c>
      <c r="K34" s="15">
        <f t="shared" si="2"/>
        <v>47.738095238095234</v>
      </c>
      <c r="L34" s="15">
        <f t="shared" si="2"/>
        <v>47.738095238095234</v>
      </c>
      <c r="M34" s="15">
        <f t="shared" si="2"/>
        <v>52.043650793650791</v>
      </c>
      <c r="N34" s="15">
        <f>SUM(B34:M34)</f>
        <v>338.32936507936506</v>
      </c>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sheetData>
  <mergeCells count="5">
    <mergeCell ref="A1:Q1"/>
    <mergeCell ref="A3:Q3"/>
    <mergeCell ref="A5:G5"/>
    <mergeCell ref="A15:Q15"/>
    <mergeCell ref="A31:N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200"/>
  <sheetViews>
    <sheetView topLeftCell="A15" workbookViewId="0">
      <selection sqref="A1:Q1"/>
    </sheetView>
  </sheetViews>
  <sheetFormatPr baseColWidth="10" defaultColWidth="8.83203125" defaultRowHeight="15"/>
  <cols>
    <col min="1" max="1" width="22.6640625" bestFit="1" customWidth="1"/>
    <col min="2" max="2" width="15" customWidth="1"/>
    <col min="3" max="3" width="14" customWidth="1"/>
    <col min="4" max="4" width="10" customWidth="1"/>
    <col min="5" max="5" width="18" customWidth="1"/>
    <col min="6" max="6" width="14" customWidth="1"/>
    <col min="7" max="7" width="15" customWidth="1"/>
    <col min="8" max="8" width="10" customWidth="1"/>
    <col min="9" max="9" width="16" customWidth="1"/>
    <col min="10" max="10" width="18" customWidth="1"/>
    <col min="11" max="11" width="15" customWidth="1"/>
    <col min="12" max="13" width="14" customWidth="1"/>
    <col min="14" max="14" width="20" customWidth="1"/>
    <col min="15" max="15" width="12" customWidth="1"/>
    <col min="16" max="16" width="16" customWidth="1"/>
    <col min="17" max="17" width="20" customWidth="1"/>
  </cols>
  <sheetData>
    <row r="1" spans="1:52" ht="37.25" customHeight="1">
      <c r="A1" s="111" t="s">
        <v>378</v>
      </c>
      <c r="B1" s="111"/>
      <c r="C1" s="111"/>
      <c r="D1" s="111"/>
      <c r="E1" s="111"/>
      <c r="F1" s="111"/>
      <c r="G1" s="111"/>
      <c r="H1" s="111"/>
      <c r="I1" s="111"/>
      <c r="J1" s="111"/>
      <c r="K1" s="111"/>
      <c r="L1" s="111"/>
      <c r="M1" s="111"/>
      <c r="N1" s="111"/>
      <c r="O1" s="111"/>
      <c r="P1" s="111"/>
      <c r="Q1" s="11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112" t="s">
        <v>379</v>
      </c>
      <c r="B3" s="112"/>
      <c r="C3" s="112"/>
      <c r="D3" s="112"/>
      <c r="E3" s="112"/>
      <c r="F3" s="112"/>
      <c r="G3" s="112"/>
      <c r="H3" s="112"/>
      <c r="I3" s="112"/>
      <c r="J3" s="112"/>
      <c r="K3" s="112"/>
      <c r="L3" s="112"/>
      <c r="M3" s="112"/>
      <c r="N3" s="112"/>
      <c r="O3" s="112"/>
      <c r="P3" s="112"/>
      <c r="Q3" s="112"/>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26.75" customHeight="1">
      <c r="A5" s="90" t="s">
        <v>380</v>
      </c>
      <c r="B5" s="90"/>
      <c r="C5" s="90"/>
      <c r="D5" s="90"/>
      <c r="E5" s="90"/>
      <c r="F5" s="90"/>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16">
      <c r="A6" s="38" t="s">
        <v>48</v>
      </c>
      <c r="B6" s="38" t="s">
        <v>241</v>
      </c>
      <c r="C6" s="38" t="s">
        <v>248</v>
      </c>
      <c r="D6" s="38" t="s">
        <v>251</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c r="A7" s="8" t="s">
        <v>46</v>
      </c>
      <c r="B7" s="43">
        <v>34</v>
      </c>
      <c r="C7" s="43">
        <v>43</v>
      </c>
      <c r="D7" s="43">
        <v>38</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c r="A8" s="8" t="s">
        <v>54</v>
      </c>
      <c r="B8" s="43">
        <v>31</v>
      </c>
      <c r="C8" s="43">
        <v>40</v>
      </c>
      <c r="D8" s="43">
        <v>40</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c r="A9" s="8" t="s">
        <v>55</v>
      </c>
      <c r="B9" s="43">
        <v>39</v>
      </c>
      <c r="C9" s="43">
        <v>49</v>
      </c>
      <c r="D9" s="43">
        <v>34</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ht="26.75" customHeight="1">
      <c r="A12" s="90" t="s">
        <v>381</v>
      </c>
      <c r="B12" s="90"/>
      <c r="C12" s="90"/>
      <c r="D12" s="90"/>
      <c r="E12" s="90"/>
      <c r="F12" s="90"/>
      <c r="G12" s="90"/>
      <c r="H12" s="90"/>
      <c r="I12" s="90"/>
      <c r="J12" s="90"/>
      <c r="K12" s="90"/>
      <c r="L12" s="90"/>
      <c r="M12" s="90"/>
      <c r="N12" s="90"/>
      <c r="O12" s="90"/>
      <c r="P12" s="90"/>
      <c r="Q12" s="90"/>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ht="32">
      <c r="A13" s="38" t="s">
        <v>111</v>
      </c>
      <c r="B13" s="38" t="s">
        <v>185</v>
      </c>
      <c r="C13" s="38" t="s">
        <v>195</v>
      </c>
      <c r="D13" s="38" t="s">
        <v>241</v>
      </c>
      <c r="E13" s="38" t="s">
        <v>382</v>
      </c>
      <c r="F13" s="38" t="s">
        <v>248</v>
      </c>
      <c r="G13" s="38" t="s">
        <v>383</v>
      </c>
      <c r="H13" s="38" t="s">
        <v>251</v>
      </c>
      <c r="I13" s="38" t="s">
        <v>384</v>
      </c>
      <c r="J13" s="38" t="s">
        <v>385</v>
      </c>
      <c r="K13" s="38" t="s">
        <v>386</v>
      </c>
      <c r="L13" s="38" t="s">
        <v>214</v>
      </c>
      <c r="M13" s="38" t="s">
        <v>387</v>
      </c>
      <c r="N13" s="38" t="s">
        <v>388</v>
      </c>
      <c r="O13" s="38" t="s">
        <v>232</v>
      </c>
      <c r="P13" s="38" t="s">
        <v>389</v>
      </c>
      <c r="Q13" s="38" t="s">
        <v>254</v>
      </c>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c r="A14" s="29">
        <v>46023</v>
      </c>
      <c r="B14" s="20">
        <f>SUM('Rolling Forecast'!F4:F8)</f>
        <v>5110.5859300000002</v>
      </c>
      <c r="C14" s="20">
        <f>SUM('Rolling Forecast'!H4:H8)</f>
        <v>2759.5508200000004</v>
      </c>
      <c r="D14" s="43">
        <v>36</v>
      </c>
      <c r="E14" s="15">
        <f t="shared" ref="E14:E25" si="0">B14*D14/30.4</f>
        <v>6052.0096539473689</v>
      </c>
      <c r="F14" s="43">
        <v>45</v>
      </c>
      <c r="G14" s="15">
        <f t="shared" ref="G14:G25" si="1">C14*F14/30.4</f>
        <v>4084.8614111842112</v>
      </c>
      <c r="H14" s="43">
        <v>37</v>
      </c>
      <c r="I14" s="15">
        <f t="shared" ref="I14:I25" si="2">C14*H14/30.4</f>
        <v>3358.663826973685</v>
      </c>
      <c r="J14" s="15">
        <f t="shared" ref="J14:J25" si="3">E14+G14-I14</f>
        <v>6778.2072381578946</v>
      </c>
      <c r="K14" s="15">
        <f>0</f>
        <v>0</v>
      </c>
      <c r="L14" s="20">
        <f>SUM('Rolling Forecast'!N4:N8)</f>
        <v>1078.8351099999998</v>
      </c>
      <c r="M14" s="15">
        <f t="shared" ref="M14:M25" si="4">IF(L14&gt;0,L14*20%,0)</f>
        <v>215.76702199999997</v>
      </c>
      <c r="N14" s="15">
        <f t="shared" ref="N14:N25" si="5">L14-K14-M14</f>
        <v>863.06808799999976</v>
      </c>
      <c r="O14" s="20">
        <f>'Capex &amp; Depreciation'!B33</f>
        <v>0</v>
      </c>
      <c r="P14" s="15">
        <f t="shared" ref="P14:P25" si="6">N14-O14</f>
        <v>863.06808799999976</v>
      </c>
      <c r="Q14" s="45">
        <f t="shared" ref="Q14:Q25" si="7">D14+F14-H14</f>
        <v>44</v>
      </c>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c r="A15" s="29">
        <v>46054</v>
      </c>
      <c r="B15" s="20">
        <f>SUM('Rolling Forecast'!F9:F13)</f>
        <v>5219.5504999999994</v>
      </c>
      <c r="C15" s="20">
        <f>SUM('Rolling Forecast'!H9:H13)</f>
        <v>2818.1342</v>
      </c>
      <c r="D15" s="43">
        <v>35</v>
      </c>
      <c r="E15" s="15">
        <f t="shared" si="0"/>
        <v>6009.3509046052632</v>
      </c>
      <c r="F15" s="43">
        <v>44</v>
      </c>
      <c r="G15" s="15">
        <f t="shared" si="1"/>
        <v>4078.8784473684213</v>
      </c>
      <c r="H15" s="43">
        <v>38</v>
      </c>
      <c r="I15" s="15">
        <f t="shared" si="2"/>
        <v>3522.6677500000001</v>
      </c>
      <c r="J15" s="15">
        <f t="shared" si="3"/>
        <v>6565.5616019736844</v>
      </c>
      <c r="K15" s="15">
        <f t="shared" ref="K15:K25" si="8">J15-J14</f>
        <v>-212.64563618421016</v>
      </c>
      <c r="L15" s="20">
        <f>SUM('Rolling Forecast'!N9:N13)</f>
        <v>1124.5163000000002</v>
      </c>
      <c r="M15" s="15">
        <f t="shared" si="4"/>
        <v>224.90326000000005</v>
      </c>
      <c r="N15" s="15">
        <f t="shared" si="5"/>
        <v>1112.2586761842103</v>
      </c>
      <c r="O15" s="20">
        <f>'Capex &amp; Depreciation'!C33</f>
        <v>420</v>
      </c>
      <c r="P15" s="15">
        <f t="shared" si="6"/>
        <v>692.25867618421034</v>
      </c>
      <c r="Q15" s="45">
        <f t="shared" si="7"/>
        <v>41</v>
      </c>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c r="A16" s="29">
        <v>46082</v>
      </c>
      <c r="B16" s="20">
        <f>SUM('Rolling Forecast'!F14:F18)</f>
        <v>5543.7374399999999</v>
      </c>
      <c r="C16" s="20">
        <f>SUM('Rolling Forecast'!H14:H18)</f>
        <v>2986.2584400000001</v>
      </c>
      <c r="D16" s="43">
        <v>35</v>
      </c>
      <c r="E16" s="15">
        <f t="shared" si="0"/>
        <v>6382.5924473684208</v>
      </c>
      <c r="F16" s="43">
        <v>44</v>
      </c>
      <c r="G16" s="15">
        <f t="shared" si="1"/>
        <v>4322.2161631578947</v>
      </c>
      <c r="H16" s="43">
        <v>38</v>
      </c>
      <c r="I16" s="15">
        <f t="shared" si="2"/>
        <v>3732.8230500000004</v>
      </c>
      <c r="J16" s="15">
        <f t="shared" si="3"/>
        <v>6971.9855605263147</v>
      </c>
      <c r="K16" s="15">
        <f t="shared" si="8"/>
        <v>406.42395855263021</v>
      </c>
      <c r="L16" s="20">
        <f>SUM('Rolling Forecast'!N14:N18)</f>
        <v>1260.0789999999997</v>
      </c>
      <c r="M16" s="15">
        <f t="shared" si="4"/>
        <v>252.01579999999996</v>
      </c>
      <c r="N16" s="15">
        <f t="shared" si="5"/>
        <v>601.63924144736961</v>
      </c>
      <c r="O16" s="20">
        <f>'Capex &amp; Depreciation'!D33</f>
        <v>0</v>
      </c>
      <c r="P16" s="15">
        <f t="shared" si="6"/>
        <v>601.63924144736961</v>
      </c>
      <c r="Q16" s="45">
        <f t="shared" si="7"/>
        <v>41</v>
      </c>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c r="A17" s="29">
        <v>46113</v>
      </c>
      <c r="B17" s="20">
        <f>SUM('Rolling Forecast'!F19:F23)</f>
        <v>5554.7514799999999</v>
      </c>
      <c r="C17" s="20">
        <f>SUM('Rolling Forecast'!H19:H23)</f>
        <v>3010.0301900000004</v>
      </c>
      <c r="D17" s="43">
        <v>34</v>
      </c>
      <c r="E17" s="15">
        <f t="shared" si="0"/>
        <v>6212.550997368422</v>
      </c>
      <c r="F17" s="43">
        <v>43</v>
      </c>
      <c r="G17" s="15">
        <f t="shared" si="1"/>
        <v>4257.6084924342113</v>
      </c>
      <c r="H17" s="43">
        <v>38</v>
      </c>
      <c r="I17" s="15">
        <f t="shared" si="2"/>
        <v>3762.5377375000007</v>
      </c>
      <c r="J17" s="15">
        <f t="shared" si="3"/>
        <v>6707.6217523026335</v>
      </c>
      <c r="K17" s="15">
        <f t="shared" si="8"/>
        <v>-264.36380822368119</v>
      </c>
      <c r="L17" s="20">
        <f>SUM('Rolling Forecast'!N19:N23)</f>
        <v>1254.3212899999999</v>
      </c>
      <c r="M17" s="15">
        <f t="shared" si="4"/>
        <v>250.86425799999998</v>
      </c>
      <c r="N17" s="15">
        <f t="shared" si="5"/>
        <v>1267.820840223681</v>
      </c>
      <c r="O17" s="20">
        <f>'Capex &amp; Depreciation'!E33</f>
        <v>900</v>
      </c>
      <c r="P17" s="15">
        <f t="shared" si="6"/>
        <v>367.82084022368099</v>
      </c>
      <c r="Q17" s="45">
        <f t="shared" si="7"/>
        <v>39</v>
      </c>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c r="A18" s="29">
        <v>46143</v>
      </c>
      <c r="B18" s="20">
        <f>SUM('Rolling Forecast'!F24:F28)</f>
        <v>5551.74107</v>
      </c>
      <c r="C18" s="20">
        <f>SUM('Rolling Forecast'!H24:H28)</f>
        <v>3000.4873400000001</v>
      </c>
      <c r="D18" s="43">
        <v>34</v>
      </c>
      <c r="E18" s="15">
        <f t="shared" si="0"/>
        <v>6209.1840914473687</v>
      </c>
      <c r="F18" s="43">
        <v>42</v>
      </c>
      <c r="G18" s="15">
        <f t="shared" si="1"/>
        <v>4145.4101407894741</v>
      </c>
      <c r="H18" s="43">
        <v>39</v>
      </c>
      <c r="I18" s="15">
        <f t="shared" si="2"/>
        <v>3849.3094164473691</v>
      </c>
      <c r="J18" s="15">
        <f t="shared" si="3"/>
        <v>6505.2848157894732</v>
      </c>
      <c r="K18" s="15">
        <f t="shared" si="8"/>
        <v>-202.33693651316025</v>
      </c>
      <c r="L18" s="20">
        <f>SUM('Rolling Forecast'!N24:N28)</f>
        <v>1240.5537299999996</v>
      </c>
      <c r="M18" s="15">
        <f t="shared" si="4"/>
        <v>248.11074599999995</v>
      </c>
      <c r="N18" s="15">
        <f t="shared" si="5"/>
        <v>1194.7799205131601</v>
      </c>
      <c r="O18" s="20">
        <f>'Capex &amp; Depreciation'!F33</f>
        <v>280</v>
      </c>
      <c r="P18" s="15">
        <f t="shared" si="6"/>
        <v>914.77992051316005</v>
      </c>
      <c r="Q18" s="45">
        <f t="shared" si="7"/>
        <v>37</v>
      </c>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c r="A19" s="29">
        <v>46174</v>
      </c>
      <c r="B19" s="20">
        <f>SUM('Rolling Forecast'!F29:F33)</f>
        <v>5700.2679200000002</v>
      </c>
      <c r="C19" s="20">
        <f>SUM('Rolling Forecast'!H29:H33)</f>
        <v>3060.6619000000001</v>
      </c>
      <c r="D19" s="43">
        <v>33</v>
      </c>
      <c r="E19" s="15">
        <f t="shared" si="0"/>
        <v>6187.7908342105275</v>
      </c>
      <c r="F19" s="43">
        <v>42</v>
      </c>
      <c r="G19" s="15">
        <f t="shared" si="1"/>
        <v>4228.5460460526319</v>
      </c>
      <c r="H19" s="43">
        <v>39</v>
      </c>
      <c r="I19" s="15">
        <f t="shared" si="2"/>
        <v>3926.5070427631581</v>
      </c>
      <c r="J19" s="15">
        <f t="shared" si="3"/>
        <v>6489.8298375000013</v>
      </c>
      <c r="K19" s="15">
        <f t="shared" si="8"/>
        <v>-15.45497828947191</v>
      </c>
      <c r="L19" s="20">
        <f>SUM('Rolling Forecast'!N29:N33)</f>
        <v>1345.9060200000004</v>
      </c>
      <c r="M19" s="15">
        <f t="shared" si="4"/>
        <v>269.18120400000009</v>
      </c>
      <c r="N19" s="15">
        <f t="shared" si="5"/>
        <v>1092.1797942894723</v>
      </c>
      <c r="O19" s="20">
        <f>'Capex &amp; Depreciation'!G33</f>
        <v>0</v>
      </c>
      <c r="P19" s="15">
        <f t="shared" si="6"/>
        <v>1092.1797942894723</v>
      </c>
      <c r="Q19" s="45">
        <f t="shared" si="7"/>
        <v>36</v>
      </c>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c r="A20" s="29">
        <v>46204</v>
      </c>
      <c r="B20" s="20">
        <f>SUM('Rolling Forecast'!F34:F38)</f>
        <v>5898.7151899999999</v>
      </c>
      <c r="C20" s="20">
        <f>SUM('Rolling Forecast'!H34:H38)</f>
        <v>3180.7754800000002</v>
      </c>
      <c r="D20" s="43">
        <v>35</v>
      </c>
      <c r="E20" s="15">
        <f t="shared" si="0"/>
        <v>6791.2839358552628</v>
      </c>
      <c r="F20" s="43">
        <v>43</v>
      </c>
      <c r="G20" s="15">
        <f t="shared" si="1"/>
        <v>4499.1232118421058</v>
      </c>
      <c r="H20" s="43">
        <v>38</v>
      </c>
      <c r="I20" s="15">
        <f t="shared" si="2"/>
        <v>3975.9693500000008</v>
      </c>
      <c r="J20" s="15">
        <f t="shared" si="3"/>
        <v>7314.4377976973683</v>
      </c>
      <c r="K20" s="15">
        <f t="shared" si="8"/>
        <v>824.60796019736699</v>
      </c>
      <c r="L20" s="20">
        <f>SUM('Rolling Forecast'!N34:N38)</f>
        <v>1390.4397099999996</v>
      </c>
      <c r="M20" s="15">
        <f t="shared" si="4"/>
        <v>278.08794199999994</v>
      </c>
      <c r="N20" s="15">
        <f t="shared" si="5"/>
        <v>287.74380780263272</v>
      </c>
      <c r="O20" s="20">
        <f>'Capex &amp; Depreciation'!H33</f>
        <v>650</v>
      </c>
      <c r="P20" s="15">
        <f t="shared" si="6"/>
        <v>-362.25619219736728</v>
      </c>
      <c r="Q20" s="45">
        <f t="shared" si="7"/>
        <v>40</v>
      </c>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c r="A21" s="29">
        <v>46235</v>
      </c>
      <c r="B21" s="20">
        <f>SUM('Rolling Forecast'!F39:F43)</f>
        <v>5671.2930699999997</v>
      </c>
      <c r="C21" s="20">
        <f>SUM('Rolling Forecast'!H39:H43)</f>
        <v>3035.5218399999999</v>
      </c>
      <c r="D21" s="43">
        <v>34</v>
      </c>
      <c r="E21" s="15">
        <f t="shared" si="0"/>
        <v>6342.8935651315787</v>
      </c>
      <c r="F21" s="43">
        <v>42</v>
      </c>
      <c r="G21" s="15">
        <f t="shared" si="1"/>
        <v>4193.8130684210528</v>
      </c>
      <c r="H21" s="43">
        <v>38</v>
      </c>
      <c r="I21" s="15">
        <f t="shared" si="2"/>
        <v>3794.4022999999997</v>
      </c>
      <c r="J21" s="15">
        <f t="shared" si="3"/>
        <v>6742.3043335526327</v>
      </c>
      <c r="K21" s="15">
        <f t="shared" si="8"/>
        <v>-572.13346414473563</v>
      </c>
      <c r="L21" s="20">
        <f>SUM('Rolling Forecast'!N39:N43)</f>
        <v>1333.0712299999998</v>
      </c>
      <c r="M21" s="15">
        <f t="shared" si="4"/>
        <v>266.61424599999998</v>
      </c>
      <c r="N21" s="15">
        <f t="shared" si="5"/>
        <v>1638.5904481447355</v>
      </c>
      <c r="O21" s="20">
        <f>'Capex &amp; Depreciation'!I33</f>
        <v>0</v>
      </c>
      <c r="P21" s="15">
        <f t="shared" si="6"/>
        <v>1638.5904481447355</v>
      </c>
      <c r="Q21" s="45">
        <f t="shared" si="7"/>
        <v>38</v>
      </c>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c r="A22" s="29">
        <v>46266</v>
      </c>
      <c r="B22" s="20">
        <f>SUM('Rolling Forecast'!F44:F48)</f>
        <v>5528.95046</v>
      </c>
      <c r="C22" s="20">
        <f>SUM('Rolling Forecast'!H44:H48)</f>
        <v>2973.9312300000001</v>
      </c>
      <c r="D22" s="43">
        <v>35</v>
      </c>
      <c r="E22" s="15">
        <f t="shared" si="0"/>
        <v>6365.5679638157899</v>
      </c>
      <c r="F22" s="43">
        <v>43</v>
      </c>
      <c r="G22" s="15">
        <f t="shared" si="1"/>
        <v>4206.5474634868424</v>
      </c>
      <c r="H22" s="43">
        <v>38</v>
      </c>
      <c r="I22" s="15">
        <f t="shared" si="2"/>
        <v>3717.4140375000002</v>
      </c>
      <c r="J22" s="15">
        <f t="shared" si="3"/>
        <v>6854.7013898026325</v>
      </c>
      <c r="K22" s="15">
        <f t="shared" si="8"/>
        <v>112.39705624999988</v>
      </c>
      <c r="L22" s="20">
        <f>SUM('Rolling Forecast'!N44:N48)</f>
        <v>1262.6192299999998</v>
      </c>
      <c r="M22" s="15">
        <f t="shared" si="4"/>
        <v>252.52384599999996</v>
      </c>
      <c r="N22" s="15">
        <f t="shared" si="5"/>
        <v>897.69832774999998</v>
      </c>
      <c r="O22" s="20">
        <f>'Capex &amp; Depreciation'!J33</f>
        <v>520</v>
      </c>
      <c r="P22" s="15">
        <f t="shared" si="6"/>
        <v>377.69832774999998</v>
      </c>
      <c r="Q22" s="45">
        <f t="shared" si="7"/>
        <v>40</v>
      </c>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c r="A23" s="29">
        <v>46296</v>
      </c>
      <c r="B23" s="20">
        <f>SUM('Rolling Forecast'!F49:F53)</f>
        <v>5799.0114874586798</v>
      </c>
      <c r="C23" s="20">
        <f>SUM('Rolling Forecast'!H49:H53)</f>
        <v>3124.03837130379</v>
      </c>
      <c r="D23" s="46">
        <f>IF(Assumptions!$B$6="Upside",$B$8,IF(Assumptions!$B$6="Downside",$B$9,$B$7))</f>
        <v>34</v>
      </c>
      <c r="E23" s="15">
        <f t="shared" si="0"/>
        <v>6485.7365320261561</v>
      </c>
      <c r="F23" s="46">
        <f>IF(Assumptions!$B$6="Upside",$C$8,IF(Assumptions!$B$6="Downside",$C$9,$C$7))</f>
        <v>43</v>
      </c>
      <c r="G23" s="15">
        <f t="shared" si="1"/>
        <v>4418.870064673124</v>
      </c>
      <c r="H23" s="46">
        <f>IF(Assumptions!$B$6="Upside",$D$8,IF(Assumptions!$B$6="Downside",$D$9,$D$7))</f>
        <v>38</v>
      </c>
      <c r="I23" s="15">
        <f t="shared" si="2"/>
        <v>3905.0479641297379</v>
      </c>
      <c r="J23" s="15">
        <f t="shared" si="3"/>
        <v>6999.5586325695413</v>
      </c>
      <c r="K23" s="15">
        <f t="shared" si="8"/>
        <v>144.85724276690871</v>
      </c>
      <c r="L23" s="20">
        <f>SUM('Rolling Forecast'!N49:N53)</f>
        <v>1031.6624901834164</v>
      </c>
      <c r="M23" s="15">
        <f t="shared" si="4"/>
        <v>206.33249803668329</v>
      </c>
      <c r="N23" s="15">
        <f t="shared" si="5"/>
        <v>680.47274937982434</v>
      </c>
      <c r="O23" s="20">
        <f>'Capex &amp; Depreciation'!K33</f>
        <v>0</v>
      </c>
      <c r="P23" s="15">
        <f t="shared" si="6"/>
        <v>680.47274937982434</v>
      </c>
      <c r="Q23" s="45">
        <f t="shared" si="7"/>
        <v>39</v>
      </c>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c r="A24" s="29">
        <v>46327</v>
      </c>
      <c r="B24" s="20">
        <f>SUM('Rolling Forecast'!F54:F58)</f>
        <v>6202.5089951869904</v>
      </c>
      <c r="C24" s="20">
        <f>SUM('Rolling Forecast'!H54:H58)</f>
        <v>3359.6084142846003</v>
      </c>
      <c r="D24" s="46">
        <f>IF(Assumptions!$B$6="Upside",$B$8,IF(Assumptions!$B$6="Downside",$B$9,$B$7))</f>
        <v>34</v>
      </c>
      <c r="E24" s="15">
        <f t="shared" si="0"/>
        <v>6937.0166393538711</v>
      </c>
      <c r="F24" s="46">
        <f>IF(Assumptions!$B$6="Upside",$C$8,IF(Assumptions!$B$6="Downside",$C$9,$C$7))</f>
        <v>43</v>
      </c>
      <c r="G24" s="15">
        <f t="shared" si="1"/>
        <v>4752.0776912578222</v>
      </c>
      <c r="H24" s="46">
        <f>IF(Assumptions!$B$6="Upside",$D$8,IF(Assumptions!$B$6="Downside",$D$9,$D$7))</f>
        <v>38</v>
      </c>
      <c r="I24" s="15">
        <f t="shared" si="2"/>
        <v>4199.5105178557505</v>
      </c>
      <c r="J24" s="15">
        <f t="shared" si="3"/>
        <v>7489.5838127559427</v>
      </c>
      <c r="K24" s="15">
        <f t="shared" si="8"/>
        <v>490.02518018640149</v>
      </c>
      <c r="L24" s="20">
        <f>SUM('Rolling Forecast'!N54:N58)</f>
        <v>1162.7997920274145</v>
      </c>
      <c r="M24" s="15">
        <f t="shared" si="4"/>
        <v>232.55995840548292</v>
      </c>
      <c r="N24" s="15">
        <f t="shared" si="5"/>
        <v>440.21465343553007</v>
      </c>
      <c r="O24" s="20">
        <f>'Capex &amp; Depreciation'!L33</f>
        <v>310</v>
      </c>
      <c r="P24" s="15">
        <f t="shared" si="6"/>
        <v>130.21465343553007</v>
      </c>
      <c r="Q24" s="45">
        <f t="shared" si="7"/>
        <v>39</v>
      </c>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c r="A25" s="29">
        <v>46357</v>
      </c>
      <c r="B25" s="20">
        <f>SUM('Rolling Forecast'!F59:F63)</f>
        <v>6572.7389645277208</v>
      </c>
      <c r="C25" s="20">
        <f>SUM('Rolling Forecast'!H59:H63)</f>
        <v>3535.4078367592501</v>
      </c>
      <c r="D25" s="46">
        <f>IF(Assumptions!$B$6="Upside",$B$8,IF(Assumptions!$B$6="Downside",$B$9,$B$7))</f>
        <v>34</v>
      </c>
      <c r="E25" s="15">
        <f t="shared" si="0"/>
        <v>7351.0896313796875</v>
      </c>
      <c r="F25" s="46">
        <f>IF(Assumptions!$B$6="Upside",$C$8,IF(Assumptions!$B$6="Downside",$C$9,$C$7))</f>
        <v>43</v>
      </c>
      <c r="G25" s="15">
        <f t="shared" si="1"/>
        <v>5000.7413480476243</v>
      </c>
      <c r="H25" s="46">
        <f>IF(Assumptions!$B$6="Upside",$D$8,IF(Assumptions!$B$6="Downside",$D$9,$D$7))</f>
        <v>38</v>
      </c>
      <c r="I25" s="15">
        <f t="shared" si="2"/>
        <v>4419.2597959490631</v>
      </c>
      <c r="J25" s="15">
        <f t="shared" si="3"/>
        <v>7932.5711834782487</v>
      </c>
      <c r="K25" s="15">
        <f t="shared" si="8"/>
        <v>442.98737072230597</v>
      </c>
      <c r="L25" s="20">
        <f>SUM('Rolling Forecast'!N59:N63)</f>
        <v>1331.531045821047</v>
      </c>
      <c r="M25" s="15">
        <f t="shared" si="4"/>
        <v>266.30620916420941</v>
      </c>
      <c r="N25" s="15">
        <f t="shared" si="5"/>
        <v>622.23746593453166</v>
      </c>
      <c r="O25" s="20">
        <f>'Capex &amp; Depreciation'!M33</f>
        <v>0</v>
      </c>
      <c r="P25" s="15">
        <f t="shared" si="6"/>
        <v>622.23746593453166</v>
      </c>
      <c r="Q25" s="45">
        <f t="shared" si="7"/>
        <v>39</v>
      </c>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ht="26.75" customHeight="1">
      <c r="A28" s="90" t="s">
        <v>390</v>
      </c>
      <c r="B28" s="90"/>
      <c r="C28" s="90"/>
      <c r="D28" s="90"/>
      <c r="E28" s="90"/>
      <c r="F28" s="90"/>
      <c r="G28" s="90"/>
      <c r="H28" s="90"/>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ht="16">
      <c r="A29" s="38" t="s">
        <v>57</v>
      </c>
      <c r="B29" s="38" t="s">
        <v>391</v>
      </c>
      <c r="C29" s="38" t="s">
        <v>392</v>
      </c>
      <c r="D29" s="38" t="s">
        <v>393</v>
      </c>
      <c r="E29" s="38" t="s">
        <v>394</v>
      </c>
      <c r="F29" s="38"/>
      <c r="G29" s="38"/>
      <c r="H29" s="38"/>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c r="A30" s="1" t="s">
        <v>254</v>
      </c>
      <c r="B30" s="47">
        <f>Q22</f>
        <v>40</v>
      </c>
      <c r="C30" s="47">
        <f>Q25</f>
        <v>39</v>
      </c>
      <c r="D30" s="47">
        <f>C30-B30</f>
        <v>-1</v>
      </c>
      <c r="E30" s="1" t="s">
        <v>395</v>
      </c>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c r="A31" s="1" t="s">
        <v>396</v>
      </c>
      <c r="B31" s="31">
        <f>J22</f>
        <v>6854.7013898026325</v>
      </c>
      <c r="C31" s="31">
        <f>J25</f>
        <v>7932.5711834782487</v>
      </c>
      <c r="D31" s="31">
        <f>C31-B31</f>
        <v>1077.8697936756162</v>
      </c>
      <c r="E31" s="1" t="s">
        <v>397</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sheetData>
  <mergeCells count="5">
    <mergeCell ref="A1:Q1"/>
    <mergeCell ref="A3:Q3"/>
    <mergeCell ref="A5:F5"/>
    <mergeCell ref="A12:Q12"/>
    <mergeCell ref="A28:H28"/>
  </mergeCells>
  <conditionalFormatting sqref="P14:P25">
    <cfRule type="expression" dxfId="27" priority="1">
      <formula>P14&lt;0</formula>
    </cfRule>
    <cfRule type="expression" dxfId="26" priority="2">
      <formula>P14&gt;0</formula>
    </cfRule>
  </conditionalFormatting>
  <conditionalFormatting sqref="Q14:Q25">
    <cfRule type="colorScale" priority="3">
      <colorScale>
        <cfvo type="min"/>
        <cfvo type="percentile" val="50"/>
        <cfvo type="max"/>
        <color rgb="FFDCFCE7"/>
        <color rgb="FFFEF3C7"/>
        <color rgb="FFFECACA"/>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Z200"/>
  <sheetViews>
    <sheetView topLeftCell="A8" workbookViewId="0">
      <selection sqref="A1:N1"/>
    </sheetView>
  </sheetViews>
  <sheetFormatPr baseColWidth="10" defaultColWidth="8.83203125" defaultRowHeight="15"/>
  <cols>
    <col min="1" max="1" width="8" customWidth="1"/>
    <col min="2" max="4" width="14" customWidth="1"/>
    <col min="5" max="5" width="15" customWidth="1"/>
    <col min="6" max="6" width="17" customWidth="1"/>
    <col min="7" max="7" width="12" customWidth="1"/>
    <col min="8" max="8" width="13" customWidth="1"/>
    <col min="9" max="9" width="14" customWidth="1"/>
    <col min="10" max="10" width="11" customWidth="1"/>
    <col min="11" max="11" width="12" customWidth="1"/>
    <col min="12" max="14" width="14" customWidth="1"/>
    <col min="16" max="17" width="14" customWidth="1"/>
  </cols>
  <sheetData>
    <row r="1" spans="1:52" ht="37.25" customHeight="1">
      <c r="A1" s="111" t="s">
        <v>398</v>
      </c>
      <c r="B1" s="111"/>
      <c r="C1" s="111"/>
      <c r="D1" s="111"/>
      <c r="E1" s="111"/>
      <c r="F1" s="111"/>
      <c r="G1" s="111"/>
      <c r="H1" s="111"/>
      <c r="I1" s="111"/>
      <c r="J1" s="111"/>
      <c r="K1" s="111"/>
      <c r="L1" s="111"/>
      <c r="M1" s="111"/>
      <c r="N1" s="11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112" t="s">
        <v>399</v>
      </c>
      <c r="B3" s="112"/>
      <c r="C3" s="112"/>
      <c r="D3" s="112"/>
      <c r="E3" s="112"/>
      <c r="F3" s="112"/>
      <c r="G3" s="112"/>
      <c r="H3" s="112"/>
      <c r="I3" s="112"/>
      <c r="J3" s="112"/>
      <c r="K3" s="112"/>
      <c r="L3" s="112"/>
      <c r="M3" s="112"/>
      <c r="N3" s="112"/>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26.75" customHeight="1">
      <c r="A5" s="90" t="s">
        <v>400</v>
      </c>
      <c r="B5" s="90"/>
      <c r="C5" s="90"/>
      <c r="D5" s="90"/>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c r="A6" s="5" t="s">
        <v>401</v>
      </c>
      <c r="B6" s="48">
        <v>2000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c r="A7" s="5" t="s">
        <v>402</v>
      </c>
      <c r="B7" s="48">
        <v>1000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c r="A8" s="5" t="s">
        <v>403</v>
      </c>
      <c r="B8" s="39">
        <v>0.25</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c r="A9" s="5" t="s">
        <v>404</v>
      </c>
      <c r="B9" s="39">
        <v>0.75</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c r="A10" s="5" t="s">
        <v>405</v>
      </c>
      <c r="B10" s="39">
        <v>0.3</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c r="A11" s="5" t="s">
        <v>406</v>
      </c>
      <c r="B11" s="39">
        <v>0.7</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c r="A12" s="5" t="s">
        <v>107</v>
      </c>
      <c r="B12" s="8" t="s">
        <v>310</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ht="26.75" customHeight="1">
      <c r="A14" s="90" t="s">
        <v>407</v>
      </c>
      <c r="B14" s="90"/>
      <c r="C14" s="90"/>
      <c r="D14" s="90"/>
      <c r="E14" s="90"/>
      <c r="F14" s="90"/>
      <c r="G14" s="90"/>
      <c r="H14" s="90"/>
      <c r="I14" s="90"/>
      <c r="J14" s="90"/>
      <c r="K14" s="90"/>
      <c r="L14" s="90"/>
      <c r="M14" s="90"/>
      <c r="N14" s="90"/>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ht="16">
      <c r="A15" s="38" t="s">
        <v>159</v>
      </c>
      <c r="B15" s="38" t="s">
        <v>408</v>
      </c>
      <c r="C15" s="38" t="s">
        <v>409</v>
      </c>
      <c r="D15" s="38" t="s">
        <v>410</v>
      </c>
      <c r="E15" s="38" t="s">
        <v>411</v>
      </c>
      <c r="F15" s="38" t="s">
        <v>412</v>
      </c>
      <c r="G15" s="38" t="s">
        <v>208</v>
      </c>
      <c r="H15" s="38" t="s">
        <v>52</v>
      </c>
      <c r="I15" s="38" t="s">
        <v>53</v>
      </c>
      <c r="J15" s="38" t="s">
        <v>232</v>
      </c>
      <c r="K15" s="38" t="s">
        <v>413</v>
      </c>
      <c r="L15" s="38" t="s">
        <v>414</v>
      </c>
      <c r="M15" s="38" t="s">
        <v>415</v>
      </c>
      <c r="N15" s="38" t="s">
        <v>160</v>
      </c>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c r="A16" s="1">
        <v>1</v>
      </c>
      <c r="B16" s="49">
        <v>46300</v>
      </c>
      <c r="C16" s="29">
        <v>46296</v>
      </c>
      <c r="D16" s="20">
        <f>SUM('Rolling Forecast'!F49:F53)/4</f>
        <v>1449.7528718646699</v>
      </c>
      <c r="E16" s="20">
        <f>D16*$B$8+'Working Capital'!E22*40%</f>
        <v>2908.6654034924836</v>
      </c>
      <c r="F16" s="20">
        <f>SUM('Rolling Forecast'!H49:H53)/4*$B$10+'Working Capital'!I22*55%</f>
        <v>2278.8805984727846</v>
      </c>
      <c r="G16" s="20">
        <f>SUM('Rolling Forecast'!L49:L53)/4</f>
        <v>210.53006875</v>
      </c>
      <c r="H16" s="20">
        <f>SUM('Rolling Forecast'!K49:K53)/4</f>
        <v>109.32046274286834</v>
      </c>
      <c r="I16" s="20">
        <f>SUM('Rolling Forecast'!M49:M53)/4</f>
        <v>90.977125000000001</v>
      </c>
      <c r="J16" s="20">
        <f>'Capex &amp; Depreciation'!K33/4</f>
        <v>0</v>
      </c>
      <c r="K16" s="17">
        <v>0</v>
      </c>
      <c r="L16" s="15">
        <f t="shared" ref="L16:L28" si="0">E16-F16-G16-H16-I16-J16-K16</f>
        <v>218.95714852683062</v>
      </c>
      <c r="M16" s="15">
        <f>$B$6</f>
        <v>2000</v>
      </c>
      <c r="N16" s="15">
        <f t="shared" ref="N16:N28" si="1">M16+L16</f>
        <v>2218.9571485268307</v>
      </c>
      <c r="O16" s="1"/>
      <c r="P16" s="1" t="s">
        <v>408</v>
      </c>
      <c r="Q16" s="1" t="s">
        <v>160</v>
      </c>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c r="A17" s="1">
        <v>2</v>
      </c>
      <c r="B17" s="49">
        <v>46307</v>
      </c>
      <c r="C17" s="29">
        <v>46296</v>
      </c>
      <c r="D17" s="20">
        <f>SUM('Rolling Forecast'!F49:F53)/4</f>
        <v>1449.7528718646699</v>
      </c>
      <c r="E17" s="20">
        <f>D17*$B$8+D16*$B$9+'Working Capital'!E22*35%</f>
        <v>3677.7016592001964</v>
      </c>
      <c r="F17" s="20">
        <f>SUM('Rolling Forecast'!H49:H53)/4*$B$10+SUM('Rolling Forecast'!H49:H53)/4*$B$11+'Working Capital'!I22*45%</f>
        <v>2453.8459097009477</v>
      </c>
      <c r="G17" s="20">
        <f>SUM('Rolling Forecast'!L49:L53)/4</f>
        <v>210.53006875</v>
      </c>
      <c r="H17" s="50">
        <f>SUM('Rolling Forecast'!K49:K53)/4</f>
        <v>109.32046274286834</v>
      </c>
      <c r="I17" s="20">
        <f>SUM('Rolling Forecast'!M49:M53)/4</f>
        <v>90.977125000000001</v>
      </c>
      <c r="J17" s="20">
        <f>'Capex &amp; Depreciation'!K33/4</f>
        <v>0</v>
      </c>
      <c r="K17" s="17">
        <v>0</v>
      </c>
      <c r="L17" s="15">
        <f t="shared" si="0"/>
        <v>813.02809300638035</v>
      </c>
      <c r="M17" s="15">
        <f t="shared" ref="M17:M28" si="2">N16</f>
        <v>2218.9571485268307</v>
      </c>
      <c r="N17" s="15">
        <f t="shared" si="1"/>
        <v>3031.9852415332111</v>
      </c>
      <c r="O17" s="1"/>
      <c r="P17" s="51">
        <v>46300</v>
      </c>
      <c r="Q17" s="31">
        <f t="shared" ref="Q17:Q29" si="3">N16</f>
        <v>2218.9571485268307</v>
      </c>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c r="A18" s="1">
        <v>3</v>
      </c>
      <c r="B18" s="49">
        <v>46314</v>
      </c>
      <c r="C18" s="29">
        <v>46296</v>
      </c>
      <c r="D18" s="20">
        <f>SUM('Rolling Forecast'!F49:F53)/4</f>
        <v>1449.7528718646699</v>
      </c>
      <c r="E18" s="20">
        <f>D18*$B$8+D17*$B$9+'Working Capital'!E22*25%</f>
        <v>3041.1448628186172</v>
      </c>
      <c r="F18" s="20">
        <f>SUM('Rolling Forecast'!H49:H53)/4*$B$10+SUM('Rolling Forecast'!H49:H53)/4*$B$11</f>
        <v>781.00959282594738</v>
      </c>
      <c r="G18" s="20">
        <f>SUM('Rolling Forecast'!L49:L53)/4</f>
        <v>210.53006875</v>
      </c>
      <c r="H18" s="50">
        <f>SUM('Rolling Forecast'!K49:K53)/4</f>
        <v>109.32046274286834</v>
      </c>
      <c r="I18" s="20">
        <f>SUM('Rolling Forecast'!M49:M53)/4</f>
        <v>90.977125000000001</v>
      </c>
      <c r="J18" s="20">
        <f>'Capex &amp; Depreciation'!K33/4</f>
        <v>0</v>
      </c>
      <c r="K18" s="17">
        <v>0</v>
      </c>
      <c r="L18" s="15">
        <f t="shared" si="0"/>
        <v>1849.3076134998014</v>
      </c>
      <c r="M18" s="15">
        <f t="shared" si="2"/>
        <v>3031.9852415332111</v>
      </c>
      <c r="N18" s="15">
        <f t="shared" si="1"/>
        <v>4881.2928550330125</v>
      </c>
      <c r="O18" s="1"/>
      <c r="P18" s="51">
        <v>46307</v>
      </c>
      <c r="Q18" s="31">
        <f t="shared" si="3"/>
        <v>3031.9852415332111</v>
      </c>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c r="A19" s="1">
        <v>4</v>
      </c>
      <c r="B19" s="49">
        <v>46321</v>
      </c>
      <c r="C19" s="29">
        <v>46296</v>
      </c>
      <c r="D19" s="20">
        <f>SUM('Rolling Forecast'!F49:F53)/4</f>
        <v>1449.7528718646699</v>
      </c>
      <c r="E19" s="20">
        <f t="shared" ref="E19:E28" si="4">D19*$B$8+D18*$B$9</f>
        <v>1449.7528718646699</v>
      </c>
      <c r="F19" s="20">
        <f>SUM('Rolling Forecast'!H49:H53)/4*$B$10+SUM('Rolling Forecast'!H49:H53)/4*$B$11</f>
        <v>781.00959282594738</v>
      </c>
      <c r="G19" s="20">
        <f>SUM('Rolling Forecast'!L49:L53)/4</f>
        <v>210.53006875</v>
      </c>
      <c r="H19" s="50">
        <f>SUM('Rolling Forecast'!K49:K53)/4</f>
        <v>109.32046274286834</v>
      </c>
      <c r="I19" s="20">
        <f>SUM('Rolling Forecast'!M49:M53)/4</f>
        <v>90.977125000000001</v>
      </c>
      <c r="J19" s="20">
        <f>'Capex &amp; Depreciation'!K33/4</f>
        <v>0</v>
      </c>
      <c r="K19" s="17">
        <v>0</v>
      </c>
      <c r="L19" s="15">
        <f t="shared" si="0"/>
        <v>257.91562254585421</v>
      </c>
      <c r="M19" s="15">
        <f t="shared" si="2"/>
        <v>4881.2928550330125</v>
      </c>
      <c r="N19" s="15">
        <f t="shared" si="1"/>
        <v>5139.2084775788671</v>
      </c>
      <c r="O19" s="1"/>
      <c r="P19" s="51">
        <v>46314</v>
      </c>
      <c r="Q19" s="31">
        <f t="shared" si="3"/>
        <v>4881.2928550330125</v>
      </c>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c r="A20" s="1">
        <v>5</v>
      </c>
      <c r="B20" s="49">
        <v>46328</v>
      </c>
      <c r="C20" s="29">
        <v>46327</v>
      </c>
      <c r="D20" s="20">
        <f>SUM('Rolling Forecast'!F54:F58)/4</f>
        <v>1550.6272487967476</v>
      </c>
      <c r="E20" s="20">
        <f t="shared" si="4"/>
        <v>1474.9714660976892</v>
      </c>
      <c r="F20" s="20">
        <f>SUM('Rolling Forecast'!H54:H58)/4*$B$10+SUM('Rolling Forecast'!H49:H53)/4*$B$11</f>
        <v>798.67734604950817</v>
      </c>
      <c r="G20" s="20">
        <f>SUM('Rolling Forecast'!L54:L58)/4</f>
        <v>210.53006875</v>
      </c>
      <c r="H20" s="50">
        <f>SUM('Rolling Forecast'!K54:K58)/4</f>
        <v>116.88200346874383</v>
      </c>
      <c r="I20" s="20">
        <f>SUM('Rolling Forecast'!M54:M58)/4</f>
        <v>92.613124999999997</v>
      </c>
      <c r="J20" s="20">
        <f>'Capex &amp; Depreciation'!L33/4</f>
        <v>77.5</v>
      </c>
      <c r="K20" s="17">
        <v>0</v>
      </c>
      <c r="L20" s="15">
        <f t="shared" si="0"/>
        <v>178.7689228294372</v>
      </c>
      <c r="M20" s="15">
        <f t="shared" si="2"/>
        <v>5139.2084775788671</v>
      </c>
      <c r="N20" s="15">
        <f t="shared" si="1"/>
        <v>5317.9774004083047</v>
      </c>
      <c r="O20" s="1"/>
      <c r="P20" s="51">
        <v>46321</v>
      </c>
      <c r="Q20" s="31">
        <f t="shared" si="3"/>
        <v>5139.2084775788671</v>
      </c>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c r="A21" s="1">
        <v>6</v>
      </c>
      <c r="B21" s="49">
        <v>46335</v>
      </c>
      <c r="C21" s="29">
        <v>46327</v>
      </c>
      <c r="D21" s="20">
        <f>SUM('Rolling Forecast'!F54:F58)/4</f>
        <v>1550.6272487967476</v>
      </c>
      <c r="E21" s="20">
        <f t="shared" si="4"/>
        <v>1550.6272487967476</v>
      </c>
      <c r="F21" s="20">
        <f>SUM('Rolling Forecast'!H54:H58)/4*$B$10+SUM('Rolling Forecast'!H54:H58)/4*$B$11</f>
        <v>839.90210357114995</v>
      </c>
      <c r="G21" s="20">
        <f>SUM('Rolling Forecast'!L54:L58)/4</f>
        <v>210.53006875</v>
      </c>
      <c r="H21" s="50">
        <f>SUM('Rolling Forecast'!K54:K58)/4</f>
        <v>116.88200346874383</v>
      </c>
      <c r="I21" s="20">
        <f>SUM('Rolling Forecast'!M54:M58)/4</f>
        <v>92.613124999999997</v>
      </c>
      <c r="J21" s="20">
        <f>'Capex &amp; Depreciation'!L33/4</f>
        <v>77.5</v>
      </c>
      <c r="K21" s="17">
        <v>0</v>
      </c>
      <c r="L21" s="15">
        <f t="shared" si="0"/>
        <v>213.19994800685379</v>
      </c>
      <c r="M21" s="15">
        <f t="shared" si="2"/>
        <v>5317.9774004083047</v>
      </c>
      <c r="N21" s="15">
        <f t="shared" si="1"/>
        <v>5531.1773484151581</v>
      </c>
      <c r="O21" s="1"/>
      <c r="P21" s="51">
        <v>46328</v>
      </c>
      <c r="Q21" s="31">
        <f t="shared" si="3"/>
        <v>5317.9774004083047</v>
      </c>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c r="A22" s="1">
        <v>7</v>
      </c>
      <c r="B22" s="49">
        <v>46342</v>
      </c>
      <c r="C22" s="29">
        <v>46327</v>
      </c>
      <c r="D22" s="20">
        <f>SUM('Rolling Forecast'!F54:F58)/4</f>
        <v>1550.6272487967476</v>
      </c>
      <c r="E22" s="20">
        <f t="shared" si="4"/>
        <v>1550.6272487967476</v>
      </c>
      <c r="F22" s="20">
        <f>SUM('Rolling Forecast'!H54:H58)/4*$B$10+SUM('Rolling Forecast'!H54:H58)/4*$B$11</f>
        <v>839.90210357114995</v>
      </c>
      <c r="G22" s="20">
        <f>SUM('Rolling Forecast'!L54:L58)/4</f>
        <v>210.53006875</v>
      </c>
      <c r="H22" s="50">
        <f>SUM('Rolling Forecast'!K54:K58)/4</f>
        <v>116.88200346874383</v>
      </c>
      <c r="I22" s="20">
        <f>SUM('Rolling Forecast'!M54:M58)/4</f>
        <v>92.613124999999997</v>
      </c>
      <c r="J22" s="20">
        <f>'Capex &amp; Depreciation'!L33/4</f>
        <v>77.5</v>
      </c>
      <c r="K22" s="17">
        <v>0</v>
      </c>
      <c r="L22" s="15">
        <f t="shared" si="0"/>
        <v>213.19994800685379</v>
      </c>
      <c r="M22" s="15">
        <f t="shared" si="2"/>
        <v>5531.1773484151581</v>
      </c>
      <c r="N22" s="15">
        <f t="shared" si="1"/>
        <v>5744.3772964220116</v>
      </c>
      <c r="O22" s="1"/>
      <c r="P22" s="51">
        <v>46335</v>
      </c>
      <c r="Q22" s="31">
        <f t="shared" si="3"/>
        <v>5531.1773484151581</v>
      </c>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c r="A23" s="1">
        <v>8</v>
      </c>
      <c r="B23" s="49">
        <v>46349</v>
      </c>
      <c r="C23" s="29">
        <v>46327</v>
      </c>
      <c r="D23" s="20">
        <f>SUM('Rolling Forecast'!F54:F58)/4</f>
        <v>1550.6272487967476</v>
      </c>
      <c r="E23" s="20">
        <f t="shared" si="4"/>
        <v>1550.6272487967476</v>
      </c>
      <c r="F23" s="20">
        <f>SUM('Rolling Forecast'!H54:H58)/4*$B$10+SUM('Rolling Forecast'!H54:H58)/4*$B$11</f>
        <v>839.90210357114995</v>
      </c>
      <c r="G23" s="20">
        <f>SUM('Rolling Forecast'!L54:L58)/4</f>
        <v>210.53006875</v>
      </c>
      <c r="H23" s="50">
        <f>SUM('Rolling Forecast'!K54:K58)/4</f>
        <v>116.88200346874383</v>
      </c>
      <c r="I23" s="20">
        <f>SUM('Rolling Forecast'!M54:M58)/4</f>
        <v>92.613124999999997</v>
      </c>
      <c r="J23" s="20">
        <f>'Capex &amp; Depreciation'!L33/4</f>
        <v>77.5</v>
      </c>
      <c r="K23" s="17">
        <v>0</v>
      </c>
      <c r="L23" s="15">
        <f t="shared" si="0"/>
        <v>213.19994800685379</v>
      </c>
      <c r="M23" s="15">
        <f t="shared" si="2"/>
        <v>5744.3772964220116</v>
      </c>
      <c r="N23" s="15">
        <f t="shared" si="1"/>
        <v>5957.577244428865</v>
      </c>
      <c r="O23" s="1"/>
      <c r="P23" s="51">
        <v>46342</v>
      </c>
      <c r="Q23" s="31">
        <f t="shared" si="3"/>
        <v>5744.3772964220116</v>
      </c>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c r="A24" s="1">
        <v>9</v>
      </c>
      <c r="B24" s="49">
        <v>46356</v>
      </c>
      <c r="C24" s="29">
        <v>46357</v>
      </c>
      <c r="D24" s="20">
        <f>SUM('Rolling Forecast'!F59:F63)/5</f>
        <v>1314.5477929055442</v>
      </c>
      <c r="E24" s="20">
        <f t="shared" si="4"/>
        <v>1491.6073848239469</v>
      </c>
      <c r="F24" s="20">
        <f>SUM('Rolling Forecast'!H59:H63)/5*$B$10+SUM('Rolling Forecast'!H54:H58)/4*$B$11</f>
        <v>800.05594270535994</v>
      </c>
      <c r="G24" s="20">
        <f>SUM('Rolling Forecast'!L59:L63)/5</f>
        <v>168.42405500000001</v>
      </c>
      <c r="H24" s="50">
        <f>SUM('Rolling Forecast'!K59:K63)/5</f>
        <v>98.980561389484635</v>
      </c>
      <c r="I24" s="20">
        <f>SUM('Rolling Forecast'!M59:M63)/5</f>
        <v>73.755399999999995</v>
      </c>
      <c r="J24" s="20">
        <f>'Capex &amp; Depreciation'!M33/5</f>
        <v>0</v>
      </c>
      <c r="K24" s="17">
        <v>0</v>
      </c>
      <c r="L24" s="15">
        <f t="shared" si="0"/>
        <v>350.39142572910231</v>
      </c>
      <c r="M24" s="15">
        <f t="shared" si="2"/>
        <v>5957.577244428865</v>
      </c>
      <c r="N24" s="15">
        <f t="shared" si="1"/>
        <v>6307.9686701579676</v>
      </c>
      <c r="O24" s="1"/>
      <c r="P24" s="51">
        <v>46349</v>
      </c>
      <c r="Q24" s="31">
        <f t="shared" si="3"/>
        <v>5957.577244428865</v>
      </c>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c r="A25" s="1">
        <v>10</v>
      </c>
      <c r="B25" s="49">
        <v>46363</v>
      </c>
      <c r="C25" s="29">
        <v>46357</v>
      </c>
      <c r="D25" s="20">
        <f>SUM('Rolling Forecast'!F59:F63)/5</f>
        <v>1314.5477929055442</v>
      </c>
      <c r="E25" s="20">
        <f t="shared" si="4"/>
        <v>1314.5477929055442</v>
      </c>
      <c r="F25" s="20">
        <f>SUM('Rolling Forecast'!H59:H63)/5*$B$10+SUM('Rolling Forecast'!H59:H63)/5*$B$11</f>
        <v>707.08156735185003</v>
      </c>
      <c r="G25" s="20">
        <f>SUM('Rolling Forecast'!L59:L63)/5</f>
        <v>168.42405500000001</v>
      </c>
      <c r="H25" s="50">
        <f>SUM('Rolling Forecast'!K59:K63)/5</f>
        <v>98.980561389484635</v>
      </c>
      <c r="I25" s="20">
        <f>SUM('Rolling Forecast'!M59:M63)/5</f>
        <v>73.755399999999995</v>
      </c>
      <c r="J25" s="20">
        <f>'Capex &amp; Depreciation'!M33/5</f>
        <v>0</v>
      </c>
      <c r="K25" s="17">
        <v>250</v>
      </c>
      <c r="L25" s="15">
        <f t="shared" si="0"/>
        <v>16.306209164209463</v>
      </c>
      <c r="M25" s="15">
        <f t="shared" si="2"/>
        <v>6307.9686701579676</v>
      </c>
      <c r="N25" s="15">
        <f t="shared" si="1"/>
        <v>6324.2748793221772</v>
      </c>
      <c r="O25" s="1"/>
      <c r="P25" s="51">
        <v>46356</v>
      </c>
      <c r="Q25" s="31">
        <f t="shared" si="3"/>
        <v>6307.9686701579676</v>
      </c>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c r="A26" s="1">
        <v>11</v>
      </c>
      <c r="B26" s="49">
        <v>46370</v>
      </c>
      <c r="C26" s="29">
        <v>46357</v>
      </c>
      <c r="D26" s="20">
        <f>SUM('Rolling Forecast'!F59:F63)/5</f>
        <v>1314.5477929055442</v>
      </c>
      <c r="E26" s="20">
        <f t="shared" si="4"/>
        <v>1314.5477929055442</v>
      </c>
      <c r="F26" s="20">
        <f>SUM('Rolling Forecast'!H59:H63)/5*$B$10+SUM('Rolling Forecast'!H59:H63)/5*$B$11</f>
        <v>707.08156735185003</v>
      </c>
      <c r="G26" s="20">
        <f>SUM('Rolling Forecast'!L59:L63)/5</f>
        <v>168.42405500000001</v>
      </c>
      <c r="H26" s="50">
        <f>SUM('Rolling Forecast'!K59:K63)/5</f>
        <v>98.980561389484635</v>
      </c>
      <c r="I26" s="20">
        <f>SUM('Rolling Forecast'!M59:M63)/5</f>
        <v>73.755399999999995</v>
      </c>
      <c r="J26" s="20">
        <f>'Capex &amp; Depreciation'!M33/5</f>
        <v>0</v>
      </c>
      <c r="K26" s="17">
        <v>0</v>
      </c>
      <c r="L26" s="15">
        <f t="shared" si="0"/>
        <v>266.30620916420946</v>
      </c>
      <c r="M26" s="15">
        <f t="shared" si="2"/>
        <v>6324.2748793221772</v>
      </c>
      <c r="N26" s="15">
        <f t="shared" si="1"/>
        <v>6590.5810884863868</v>
      </c>
      <c r="O26" s="1"/>
      <c r="P26" s="51">
        <v>46363</v>
      </c>
      <c r="Q26" s="31">
        <f t="shared" si="3"/>
        <v>6324.2748793221772</v>
      </c>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c r="A27" s="1">
        <v>12</v>
      </c>
      <c r="B27" s="49">
        <v>46377</v>
      </c>
      <c r="C27" s="29">
        <v>46357</v>
      </c>
      <c r="D27" s="20">
        <f>SUM('Rolling Forecast'!F59:F63)/5</f>
        <v>1314.5477929055442</v>
      </c>
      <c r="E27" s="20">
        <f t="shared" si="4"/>
        <v>1314.5477929055442</v>
      </c>
      <c r="F27" s="20">
        <f>SUM('Rolling Forecast'!H59:H63)/5*$B$10+SUM('Rolling Forecast'!H59:H63)/5*$B$11</f>
        <v>707.08156735185003</v>
      </c>
      <c r="G27" s="20">
        <f>SUM('Rolling Forecast'!L59:L63)/5</f>
        <v>168.42405500000001</v>
      </c>
      <c r="H27" s="50">
        <f>SUM('Rolling Forecast'!K59:K63)/5</f>
        <v>98.980561389484635</v>
      </c>
      <c r="I27" s="20">
        <f>SUM('Rolling Forecast'!M59:M63)/5</f>
        <v>73.755399999999995</v>
      </c>
      <c r="J27" s="20">
        <f>'Capex &amp; Depreciation'!M33/5</f>
        <v>0</v>
      </c>
      <c r="K27" s="17">
        <v>0</v>
      </c>
      <c r="L27" s="15">
        <f t="shared" si="0"/>
        <v>266.30620916420946</v>
      </c>
      <c r="M27" s="15">
        <f t="shared" si="2"/>
        <v>6590.5810884863868</v>
      </c>
      <c r="N27" s="15">
        <f t="shared" si="1"/>
        <v>6856.8872976505963</v>
      </c>
      <c r="O27" s="1"/>
      <c r="P27" s="51">
        <v>46370</v>
      </c>
      <c r="Q27" s="31">
        <f t="shared" si="3"/>
        <v>6590.5810884863868</v>
      </c>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c r="A28" s="1">
        <v>13</v>
      </c>
      <c r="B28" s="49">
        <v>46384</v>
      </c>
      <c r="C28" s="29">
        <v>46357</v>
      </c>
      <c r="D28" s="20">
        <f>SUM('Rolling Forecast'!F59:F63)/5</f>
        <v>1314.5477929055442</v>
      </c>
      <c r="E28" s="20">
        <f t="shared" si="4"/>
        <v>1314.5477929055442</v>
      </c>
      <c r="F28" s="20">
        <f>SUM('Rolling Forecast'!H59:H63)/5*$B$10+SUM('Rolling Forecast'!H59:H63)/5*$B$11</f>
        <v>707.08156735185003</v>
      </c>
      <c r="G28" s="20">
        <f>SUM('Rolling Forecast'!L59:L63)/5</f>
        <v>168.42405500000001</v>
      </c>
      <c r="H28" s="50">
        <f>SUM('Rolling Forecast'!K59:K63)/5</f>
        <v>98.980561389484635</v>
      </c>
      <c r="I28" s="20">
        <f>SUM('Rolling Forecast'!M59:M63)/5</f>
        <v>73.755399999999995</v>
      </c>
      <c r="J28" s="20">
        <f>'Capex &amp; Depreciation'!M33/5</f>
        <v>0</v>
      </c>
      <c r="K28" s="17">
        <v>0</v>
      </c>
      <c r="L28" s="15">
        <f t="shared" si="0"/>
        <v>266.30620916420946</v>
      </c>
      <c r="M28" s="15">
        <f t="shared" si="2"/>
        <v>6856.8872976505963</v>
      </c>
      <c r="N28" s="15">
        <f t="shared" si="1"/>
        <v>7123.1935068148059</v>
      </c>
      <c r="O28" s="1"/>
      <c r="P28" s="51">
        <v>46377</v>
      </c>
      <c r="Q28" s="31">
        <f t="shared" si="3"/>
        <v>6856.8872976505963</v>
      </c>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c r="A29" s="1"/>
      <c r="B29" s="1"/>
      <c r="C29" s="1"/>
      <c r="D29" s="1"/>
      <c r="E29" s="1"/>
      <c r="F29" s="1"/>
      <c r="G29" s="1"/>
      <c r="H29" s="51"/>
      <c r="I29" s="31"/>
      <c r="J29" s="1"/>
      <c r="K29" s="1"/>
      <c r="L29" s="1"/>
      <c r="M29" s="1"/>
      <c r="N29" s="1"/>
      <c r="O29" s="1"/>
      <c r="P29" s="51">
        <v>46384</v>
      </c>
      <c r="Q29" s="31">
        <f t="shared" si="3"/>
        <v>7123.1935068148059</v>
      </c>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ht="26.75" customHeight="1">
      <c r="A31" s="90" t="s">
        <v>416</v>
      </c>
      <c r="B31" s="90"/>
      <c r="C31" s="90"/>
      <c r="D31" s="90"/>
      <c r="E31" s="90"/>
      <c r="F31" s="90"/>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ht="32">
      <c r="A32" s="38" t="s">
        <v>57</v>
      </c>
      <c r="B32" s="38" t="s">
        <v>417</v>
      </c>
      <c r="C32" s="38" t="s">
        <v>418</v>
      </c>
      <c r="D32" s="38" t="s">
        <v>419</v>
      </c>
      <c r="E32" s="38" t="s">
        <v>97</v>
      </c>
      <c r="F32" s="38" t="s">
        <v>173</v>
      </c>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c r="A33" s="1" t="s">
        <v>420</v>
      </c>
      <c r="B33" s="31">
        <f>MIN(N16:N28)</f>
        <v>2218.9571485268307</v>
      </c>
      <c r="C33" s="31">
        <f>$B$7</f>
        <v>1000</v>
      </c>
      <c r="D33" s="31">
        <f>B33-C33</f>
        <v>1218.9571485268307</v>
      </c>
      <c r="E33" s="1" t="str">
        <f>IF(D33&gt;=0,"Above policy","Below policy")</f>
        <v>Above policy</v>
      </c>
      <c r="F33" s="1" t="s">
        <v>421</v>
      </c>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c r="A34" s="1" t="s">
        <v>158</v>
      </c>
      <c r="B34" s="31">
        <f>N28</f>
        <v>7123.1935068148059</v>
      </c>
      <c r="C34" s="31">
        <f>$B$7</f>
        <v>1000</v>
      </c>
      <c r="D34" s="31">
        <f>B34-C34</f>
        <v>6123.1935068148059</v>
      </c>
      <c r="E34" s="1" t="str">
        <f>IF(D34&gt;=0,"Above policy","Below policy")</f>
        <v>Above policy</v>
      </c>
      <c r="F34" s="1" t="s">
        <v>422</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sheetData>
  <mergeCells count="5">
    <mergeCell ref="A1:N1"/>
    <mergeCell ref="A3:N3"/>
    <mergeCell ref="A5:D5"/>
    <mergeCell ref="A14:N14"/>
    <mergeCell ref="A31:F31"/>
  </mergeCells>
  <conditionalFormatting sqref="N16:N28">
    <cfRule type="expression" dxfId="25" priority="1">
      <formula>N16&lt;$B$7</formula>
    </cfRule>
    <cfRule type="expression" dxfId="24" priority="2">
      <formula>N16&gt;=$B$7</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Z200"/>
  <sheetViews>
    <sheetView workbookViewId="0">
      <selection sqref="A1:I1"/>
    </sheetView>
  </sheetViews>
  <sheetFormatPr baseColWidth="10" defaultColWidth="8.83203125" defaultRowHeight="15"/>
  <cols>
    <col min="1" max="1" width="29" customWidth="1"/>
    <col min="2" max="3" width="18" customWidth="1"/>
    <col min="4" max="4" width="28" customWidth="1"/>
    <col min="5" max="5" width="7.6640625" bestFit="1" customWidth="1"/>
    <col min="6" max="6" width="16" customWidth="1"/>
    <col min="7" max="9" width="14" customWidth="1"/>
  </cols>
  <sheetData>
    <row r="1" spans="1:52" ht="37.25" customHeight="1">
      <c r="A1" s="111" t="s">
        <v>423</v>
      </c>
      <c r="B1" s="111"/>
      <c r="C1" s="111"/>
      <c r="D1" s="111"/>
      <c r="E1" s="111"/>
      <c r="F1" s="111"/>
      <c r="G1" s="111"/>
      <c r="H1" s="111"/>
      <c r="I1" s="11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112" t="s">
        <v>424</v>
      </c>
      <c r="B3" s="112"/>
      <c r="C3" s="112"/>
      <c r="D3" s="112"/>
      <c r="E3" s="112"/>
      <c r="F3" s="112"/>
      <c r="G3" s="112"/>
      <c r="H3" s="112"/>
      <c r="I3" s="112"/>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26.75" customHeight="1">
      <c r="A5" s="90" t="s">
        <v>425</v>
      </c>
      <c r="B5" s="90"/>
      <c r="C5" s="90"/>
      <c r="D5" s="90"/>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c r="A6" s="5" t="s">
        <v>426</v>
      </c>
      <c r="B6" s="48">
        <v>900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c r="A7" s="5" t="s">
        <v>427</v>
      </c>
      <c r="B7" s="48">
        <v>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c r="A8" s="5" t="s">
        <v>428</v>
      </c>
      <c r="B8" s="39">
        <v>9.5000000000000001E-2</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c r="A9" s="5" t="s">
        <v>429</v>
      </c>
      <c r="B9" s="39">
        <v>0.25</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c r="A10" s="5" t="s">
        <v>430</v>
      </c>
      <c r="B10" s="48">
        <v>800</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c r="A11" s="5" t="s">
        <v>431</v>
      </c>
      <c r="B11" s="39">
        <v>0.08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c r="A12" s="5" t="s">
        <v>432</v>
      </c>
      <c r="B12" s="39">
        <v>0.46</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c r="A13" s="5" t="s">
        <v>433</v>
      </c>
      <c r="B13" s="48">
        <v>250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c r="A14" s="5" t="s">
        <v>434</v>
      </c>
      <c r="B14" s="39">
        <v>0.03</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c r="A15" s="5" t="s">
        <v>435</v>
      </c>
      <c r="B15" s="48">
        <v>120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ht="26.75" customHeight="1">
      <c r="A18" s="90" t="s">
        <v>436</v>
      </c>
      <c r="B18" s="90"/>
      <c r="C18" s="90"/>
      <c r="D18" s="90"/>
      <c r="E18" s="90"/>
      <c r="F18" s="90"/>
      <c r="G18" s="90"/>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ht="48">
      <c r="A19" s="38" t="s">
        <v>57</v>
      </c>
      <c r="B19" s="38" t="s">
        <v>437</v>
      </c>
      <c r="C19" s="38" t="s">
        <v>438</v>
      </c>
      <c r="D19" s="38" t="s">
        <v>439</v>
      </c>
      <c r="E19" s="38" t="s">
        <v>440</v>
      </c>
      <c r="F19" s="38" t="s">
        <v>441</v>
      </c>
      <c r="G19" s="38" t="s">
        <v>442</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c r="A20" s="1" t="s">
        <v>443</v>
      </c>
      <c r="B20" s="15">
        <v>0</v>
      </c>
      <c r="C20" s="15">
        <f>$B$10</f>
        <v>800</v>
      </c>
      <c r="D20" s="15">
        <f>C20*(1+$B$11)</f>
        <v>864</v>
      </c>
      <c r="E20" s="15">
        <f>D20*(1+$B$11)</f>
        <v>933.12000000000012</v>
      </c>
      <c r="F20" s="15">
        <f>E20*(1+$B$11)</f>
        <v>1007.7696000000002</v>
      </c>
      <c r="G20" s="15">
        <f>F20*(1+$B$11)</f>
        <v>1088.3911680000003</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c r="A21" s="1" t="s">
        <v>198</v>
      </c>
      <c r="B21" s="15">
        <v>0</v>
      </c>
      <c r="C21" s="15">
        <f>C20*$B$12</f>
        <v>368</v>
      </c>
      <c r="D21" s="15">
        <f>D20*$B$12</f>
        <v>397.44</v>
      </c>
      <c r="E21" s="15">
        <f>E20*$B$12</f>
        <v>429.23520000000008</v>
      </c>
      <c r="F21" s="15">
        <f>F20*$B$12</f>
        <v>463.57401600000009</v>
      </c>
      <c r="G21" s="15">
        <f>G20*$B$12</f>
        <v>500.65993728000018</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c r="A22" s="1" t="s">
        <v>444</v>
      </c>
      <c r="B22" s="15">
        <v>0</v>
      </c>
      <c r="C22" s="15">
        <f>$B$13</f>
        <v>250</v>
      </c>
      <c r="D22" s="15">
        <f>C22*(1+$B$14)</f>
        <v>257.5</v>
      </c>
      <c r="E22" s="15">
        <f>D22*(1+$B$14)</f>
        <v>265.22500000000002</v>
      </c>
      <c r="F22" s="15">
        <f>E22*(1+$B$14)</f>
        <v>273.18175000000002</v>
      </c>
      <c r="G22" s="15">
        <f>F22*(1+$B$14)</f>
        <v>281.37720250000001</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c r="A23" s="1" t="s">
        <v>365</v>
      </c>
      <c r="B23" s="15">
        <v>0</v>
      </c>
      <c r="C23" s="15">
        <f>-$B$15</f>
        <v>-120</v>
      </c>
      <c r="D23" s="15">
        <f>-$B$15</f>
        <v>-120</v>
      </c>
      <c r="E23" s="15">
        <f>-$B$15</f>
        <v>-120</v>
      </c>
      <c r="F23" s="15">
        <f>-$B$15</f>
        <v>-120</v>
      </c>
      <c r="G23" s="15">
        <f>-$B$15</f>
        <v>-120</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c r="A24" s="1" t="s">
        <v>214</v>
      </c>
      <c r="B24" s="15">
        <v>0</v>
      </c>
      <c r="C24" s="15">
        <f>C21+C22+C23</f>
        <v>498</v>
      </c>
      <c r="D24" s="15">
        <f>D21+D22+D23</f>
        <v>534.94000000000005</v>
      </c>
      <c r="E24" s="15">
        <f>E21+E22+E23</f>
        <v>574.4602000000001</v>
      </c>
      <c r="F24" s="15">
        <f>F21+F22+F23</f>
        <v>616.75576600000011</v>
      </c>
      <c r="G24" s="15">
        <f>G21+G22+G23</f>
        <v>662.03713978000019</v>
      </c>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c r="A25" s="1" t="s">
        <v>237</v>
      </c>
      <c r="B25" s="15">
        <v>0</v>
      </c>
      <c r="C25" s="15">
        <f>-$B$6/$B$7</f>
        <v>-180</v>
      </c>
      <c r="D25" s="15">
        <f>-$B$6/$B$7</f>
        <v>-180</v>
      </c>
      <c r="E25" s="15">
        <f>-$B$6/$B$7</f>
        <v>-180</v>
      </c>
      <c r="F25" s="15">
        <f>-$B$6/$B$7</f>
        <v>-180</v>
      </c>
      <c r="G25" s="15">
        <f>-$B$6/$B$7</f>
        <v>-180</v>
      </c>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c r="A26" s="1" t="s">
        <v>445</v>
      </c>
      <c r="B26" s="15">
        <v>0</v>
      </c>
      <c r="C26" s="15">
        <f>C24+C25</f>
        <v>318</v>
      </c>
      <c r="D26" s="15">
        <f>D24+D25</f>
        <v>354.94000000000005</v>
      </c>
      <c r="E26" s="15">
        <f>E24+E25</f>
        <v>394.4602000000001</v>
      </c>
      <c r="F26" s="15">
        <f>F24+F25</f>
        <v>436.75576600000011</v>
      </c>
      <c r="G26" s="15">
        <f>G24+G25</f>
        <v>482.03713978000019</v>
      </c>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c r="A27" s="1" t="s">
        <v>446</v>
      </c>
      <c r="B27" s="15">
        <v>0</v>
      </c>
      <c r="C27" s="15">
        <f>IF(C26&gt;0,-C26*$B$9,0)</f>
        <v>-79.5</v>
      </c>
      <c r="D27" s="15">
        <f>IF(D26&gt;0,-D26*$B$9,0)</f>
        <v>-88.735000000000014</v>
      </c>
      <c r="E27" s="15">
        <f>IF(E26&gt;0,-E26*$B$9,0)</f>
        <v>-98.615050000000025</v>
      </c>
      <c r="F27" s="15">
        <f>IF(F26&gt;0,-F26*$B$9,0)</f>
        <v>-109.18894150000003</v>
      </c>
      <c r="G27" s="15">
        <f>IF(G26&gt;0,-G26*$B$9,0)</f>
        <v>-120.50928494500005</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c r="A28" s="1" t="s">
        <v>447</v>
      </c>
      <c r="B28" s="15">
        <v>0</v>
      </c>
      <c r="C28" s="15">
        <f>C26+C27</f>
        <v>238.5</v>
      </c>
      <c r="D28" s="15">
        <f>D26+D27</f>
        <v>266.20500000000004</v>
      </c>
      <c r="E28" s="15">
        <f>E26+E27</f>
        <v>295.8451500000001</v>
      </c>
      <c r="F28" s="15">
        <f>F26+F27</f>
        <v>327.56682450000005</v>
      </c>
      <c r="G28" s="15">
        <f>G26+G27</f>
        <v>361.52785483500014</v>
      </c>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c r="A29" s="1" t="s">
        <v>448</v>
      </c>
      <c r="B29" s="15">
        <v>0</v>
      </c>
      <c r="C29" s="15">
        <f>-C25</f>
        <v>180</v>
      </c>
      <c r="D29" s="15">
        <f>-D25</f>
        <v>180</v>
      </c>
      <c r="E29" s="15">
        <f>-E25</f>
        <v>180</v>
      </c>
      <c r="F29" s="15">
        <f>-F25</f>
        <v>180</v>
      </c>
      <c r="G29" s="15">
        <f>-G25</f>
        <v>180</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c r="A30" s="1" t="s">
        <v>449</v>
      </c>
      <c r="B30" s="15">
        <v>0</v>
      </c>
      <c r="C30" s="15">
        <f>0</f>
        <v>0</v>
      </c>
      <c r="D30" s="15">
        <f>0</f>
        <v>0</v>
      </c>
      <c r="E30" s="15">
        <f>0</f>
        <v>0</v>
      </c>
      <c r="F30" s="15">
        <f>0</f>
        <v>0</v>
      </c>
      <c r="G30" s="15">
        <f>0</f>
        <v>0</v>
      </c>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c r="A31" s="1" t="s">
        <v>386</v>
      </c>
      <c r="B31" s="15">
        <v>0</v>
      </c>
      <c r="C31" s="15">
        <f>-C20*5%</f>
        <v>-40</v>
      </c>
      <c r="D31" s="15">
        <f>-(D20-C20)*5%</f>
        <v>-3.2</v>
      </c>
      <c r="E31" s="15">
        <f>-(E20-D20)*5%</f>
        <v>-3.4560000000000062</v>
      </c>
      <c r="F31" s="15">
        <f>-(F20-E20)*5%</f>
        <v>-3.7324800000000042</v>
      </c>
      <c r="G31" s="15">
        <f>-(G20-F20)*5%+G20*5%</f>
        <v>50.388480000000015</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c r="A32" s="1" t="s">
        <v>389</v>
      </c>
      <c r="B32" s="15">
        <f>-$B$6</f>
        <v>-900</v>
      </c>
      <c r="C32" s="15">
        <f>0</f>
        <v>0</v>
      </c>
      <c r="D32" s="15">
        <f>0</f>
        <v>0</v>
      </c>
      <c r="E32" s="15">
        <f>0</f>
        <v>0</v>
      </c>
      <c r="F32" s="15">
        <f>0</f>
        <v>0</v>
      </c>
      <c r="G32" s="15">
        <f>0</f>
        <v>0</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c r="A33" s="1" t="s">
        <v>450</v>
      </c>
      <c r="B33" s="15">
        <f>0</f>
        <v>0</v>
      </c>
      <c r="C33" s="15">
        <f>C28+C29+C30+C31</f>
        <v>378.5</v>
      </c>
      <c r="D33" s="15">
        <f>D28+D29+D30+D31</f>
        <v>443.00500000000005</v>
      </c>
      <c r="E33" s="15">
        <f>E28+E29+E30+E31</f>
        <v>472.38915000000009</v>
      </c>
      <c r="F33" s="15">
        <f>F28+F29+F30+F31</f>
        <v>503.83434450000004</v>
      </c>
      <c r="G33" s="15">
        <f>G28+G29+G30+G31</f>
        <v>591.91633483500027</v>
      </c>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c r="A34" s="1" t="s">
        <v>451</v>
      </c>
      <c r="B34" s="15">
        <f>-$B$6</f>
        <v>-900</v>
      </c>
      <c r="C34" s="15">
        <f>C33</f>
        <v>378.5</v>
      </c>
      <c r="D34" s="15">
        <f>D33</f>
        <v>443.00500000000005</v>
      </c>
      <c r="E34" s="15">
        <f>E33</f>
        <v>472.38915000000009</v>
      </c>
      <c r="F34" s="15">
        <f>F33</f>
        <v>503.83434450000004</v>
      </c>
      <c r="G34" s="15">
        <f>G33</f>
        <v>591.91633483500027</v>
      </c>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c r="A35" s="1" t="s">
        <v>452</v>
      </c>
      <c r="B35" s="10">
        <f>1</f>
        <v>1</v>
      </c>
      <c r="C35" s="10">
        <f>1/(1+$B$8)^1</f>
        <v>0.91324200913242015</v>
      </c>
      <c r="D35" s="10">
        <f>1/(1+$B$8)^2</f>
        <v>0.8340109672442193</v>
      </c>
      <c r="E35" s="10">
        <f>1/(1+$B$8)^3</f>
        <v>0.76165385136458386</v>
      </c>
      <c r="F35" s="10">
        <f>1/(1+$B$8)^4</f>
        <v>0.6955742934836382</v>
      </c>
      <c r="G35" s="10">
        <f>1/(1+$B$8)^5</f>
        <v>0.63522766528186136</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c r="A36" s="1"/>
      <c r="B36" s="15">
        <f>B34</f>
        <v>-900</v>
      </c>
      <c r="C36" s="15">
        <f>C34*C35</f>
        <v>345.66210045662103</v>
      </c>
      <c r="D36" s="15">
        <f>D34*D35</f>
        <v>369.47102854402544</v>
      </c>
      <c r="E36" s="15">
        <f>E34*E35</f>
        <v>359.79701544034219</v>
      </c>
      <c r="F36" s="15">
        <f>F34*F35</f>
        <v>350.45421820837953</v>
      </c>
      <c r="G36" s="15">
        <f>G34*G35</f>
        <v>376.00163141943375</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c r="A37" s="1"/>
      <c r="B37" s="15">
        <f>B34</f>
        <v>-900</v>
      </c>
      <c r="C37" s="15">
        <f>B37+C34</f>
        <v>-521.5</v>
      </c>
      <c r="D37" s="15">
        <f>C37+D34</f>
        <v>-78.494999999999948</v>
      </c>
      <c r="E37" s="15">
        <f>D37+E34</f>
        <v>393.89415000000014</v>
      </c>
      <c r="F37" s="15">
        <f>E37+F34</f>
        <v>897.72849450000012</v>
      </c>
      <c r="G37" s="15">
        <f>F37+G34</f>
        <v>1489.6448293350004</v>
      </c>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ht="26.75" customHeight="1">
      <c r="A40" s="90" t="s">
        <v>453</v>
      </c>
      <c r="B40" s="90"/>
      <c r="C40" s="90"/>
      <c r="D40" s="90"/>
      <c r="E40" s="1"/>
      <c r="F40" s="90" t="s">
        <v>454</v>
      </c>
      <c r="G40" s="90"/>
      <c r="H40" s="90"/>
      <c r="I40" s="90"/>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ht="16">
      <c r="A41" s="38" t="s">
        <v>57</v>
      </c>
      <c r="B41" s="38" t="s">
        <v>455</v>
      </c>
      <c r="C41" s="38" t="s">
        <v>456</v>
      </c>
      <c r="D41" s="38" t="s">
        <v>394</v>
      </c>
      <c r="E41" s="1"/>
      <c r="F41" s="38" t="s">
        <v>457</v>
      </c>
      <c r="G41" s="38" t="s">
        <v>458</v>
      </c>
      <c r="H41" s="38" t="s">
        <v>459</v>
      </c>
      <c r="I41" s="38" t="s">
        <v>460</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t="s">
        <v>461</v>
      </c>
      <c r="B42" s="52">
        <f>SUM(B36:G36)</f>
        <v>901.38599406880189</v>
      </c>
      <c r="C42" s="1" t="s">
        <v>462</v>
      </c>
      <c r="D42" s="1" t="s">
        <v>463</v>
      </c>
      <c r="E42" s="1"/>
      <c r="F42" s="53" t="s">
        <v>464</v>
      </c>
      <c r="G42" s="31">
        <f>-$B$6+(C34*0.9)/(1+0.08)^1+(D34*0.9)/(1+0.08)^2+(E34*0.9)/(1+0.08)^3+(F34*0.9)/(1+0.08)^4+(G34*0.9)/(1+0.08)^5</f>
        <v>790.60291221510556</v>
      </c>
      <c r="H42" s="31">
        <f>-$B$6+(C34*0.9)/(1+0.095)^1+(D34*0.9)/(1+0.095)^2+(E34*0.9)/(1+0.095)^3+(F34*0.9)/(1+0.095)^4+(G34*0.9)/(1+0.095)^5</f>
        <v>721.24739466192159</v>
      </c>
      <c r="I42" s="31">
        <f>-$B$6+(C34*0.9)/(1+0.11)^1+(D34*0.9)/(1+0.11)^2+(E34*0.9)/(1+0.11)^3+(F34*0.9)/(1+0.11)^4+(G34*0.9)/(1+0.11)^5</f>
        <v>656.20393712813996</v>
      </c>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t="s">
        <v>267</v>
      </c>
      <c r="B43" s="54">
        <f>IRR(B34:G34)</f>
        <v>0.40594909039846727</v>
      </c>
      <c r="C43" s="1" t="s">
        <v>465</v>
      </c>
      <c r="D43" s="1" t="s">
        <v>466</v>
      </c>
      <c r="E43" s="1"/>
      <c r="F43" s="53" t="s">
        <v>467</v>
      </c>
      <c r="G43" s="31">
        <f>-$B$6+(C34*1)/(1+0.08)^1+(D34*1)/(1+0.08)^2+(E34*1)/(1+0.08)^3+(F34*1)/(1+0.08)^4+(G34*1)/(1+0.08)^5</f>
        <v>978.44768023900588</v>
      </c>
      <c r="H43" s="31">
        <f>-$B$6+(C34*1)/(1+0.095)^1+(D34*1)/(1+0.095)^2+(E34*1)/(1+0.095)^3+(F34*1)/(1+0.095)^4+(G34*1)/(1+0.095)^5</f>
        <v>901.38599406880178</v>
      </c>
      <c r="I43" s="31">
        <f>-$B$6+(C34*1)/(1+0.11)^1+(D34*1)/(1+0.11)^2+(E34*1)/(1+0.11)^3+(F34*1)/(1+0.11)^4+(G34*1)/(1+0.11)^5</f>
        <v>829.1154856979332</v>
      </c>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c r="A44" s="1" t="s">
        <v>468</v>
      </c>
      <c r="B44" s="55" t="str">
        <f>IF(C37&gt;=0,"1 year",IF(D37&gt;=0,"2 years",IF(E37&gt;=0,"3 years",IF(F37&gt;=0,"4 years",IF(G37&gt;=0,"5 years","&gt;5 years")))))</f>
        <v>3 years</v>
      </c>
      <c r="C44" s="1" t="s">
        <v>469</v>
      </c>
      <c r="D44" s="1" t="s">
        <v>470</v>
      </c>
      <c r="E44" s="1"/>
      <c r="F44" s="53" t="s">
        <v>471</v>
      </c>
      <c r="G44" s="31">
        <f>-$B$6+(C34*1.1)/(1+0.08)^1+(D34*1.1)/(1+0.08)^2+(E34*1.1)/(1+0.08)^3+(F34*1.1)/(1+0.08)^4+(G34*1.1)/(1+0.08)^5</f>
        <v>1166.2924482629069</v>
      </c>
      <c r="H44" s="31">
        <f>-$B$6+(C34*1.1)/(1+0.095)^1+(D34*1.1)/(1+0.095)^2+(E34*1.1)/(1+0.095)^3+(F34*1.1)/(1+0.095)^4+(G34*1.1)/(1+0.095)^5</f>
        <v>1081.5245934756822</v>
      </c>
      <c r="I44" s="31">
        <f>-$B$6+(C34*1.1)/(1+0.11)^1+(D34*1.1)/(1+0.11)^2+(E34*1.1)/(1+0.11)^3+(F34*1.1)/(1+0.11)^4+(G34*1.1)/(1+0.11)^5</f>
        <v>1002.0270342677268</v>
      </c>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c r="A45" s="1" t="s">
        <v>472</v>
      </c>
      <c r="B45" s="55" t="str">
        <f>IF(AND(B42&gt;0,B43&gt;$B$8),"Proceed","Do not proceed")</f>
        <v>Proceed</v>
      </c>
      <c r="C45" s="1" t="s">
        <v>473</v>
      </c>
      <c r="D45" s="1" t="s">
        <v>474</v>
      </c>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sheetData>
  <mergeCells count="6">
    <mergeCell ref="A1:I1"/>
    <mergeCell ref="A3:I3"/>
    <mergeCell ref="A5:D5"/>
    <mergeCell ref="A18:G18"/>
    <mergeCell ref="A40:D40"/>
    <mergeCell ref="F40:I40"/>
  </mergeCells>
  <conditionalFormatting sqref="B42:B43">
    <cfRule type="expression" dxfId="23" priority="1">
      <formula>B42&gt;0</formula>
    </cfRule>
    <cfRule type="expression" dxfId="22" priority="2">
      <formula>B42&lt;0</formula>
    </cfRule>
  </conditionalFormatting>
  <conditionalFormatting sqref="G42:I44">
    <cfRule type="colorScale" priority="3">
      <colorScale>
        <cfvo type="min"/>
        <cfvo type="percentile" val="50"/>
        <cfvo type="max"/>
        <color rgb="FFFECACA"/>
        <color rgb="FFFEF3C7"/>
        <color rgb="FFDCFCE7"/>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Z200"/>
  <sheetViews>
    <sheetView topLeftCell="A27" workbookViewId="0">
      <selection activeCell="F60" sqref="F60"/>
    </sheetView>
  </sheetViews>
  <sheetFormatPr baseColWidth="10" defaultColWidth="8.83203125" defaultRowHeight="15"/>
  <cols>
    <col min="1" max="1" width="24" customWidth="1"/>
    <col min="2" max="3" width="15" customWidth="1"/>
    <col min="4" max="5" width="14" customWidth="1"/>
    <col min="6" max="11" width="18" customWidth="1"/>
    <col min="12" max="12" width="20" customWidth="1"/>
    <col min="13" max="13" width="15" customWidth="1"/>
    <col min="14" max="14" width="16" customWidth="1"/>
  </cols>
  <sheetData>
    <row r="1" spans="1:52" ht="37.25" customHeight="1">
      <c r="A1" s="113" t="s">
        <v>475</v>
      </c>
      <c r="B1" s="113"/>
      <c r="C1" s="113"/>
      <c r="D1" s="113"/>
      <c r="E1" s="113"/>
      <c r="F1" s="113"/>
      <c r="G1" s="113"/>
      <c r="H1" s="113"/>
      <c r="I1" s="113"/>
      <c r="J1" s="113"/>
      <c r="K1" s="113"/>
      <c r="L1" s="113"/>
      <c r="M1" s="113"/>
      <c r="N1" s="113"/>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114" t="s">
        <v>476</v>
      </c>
      <c r="B3" s="114"/>
      <c r="C3" s="114"/>
      <c r="D3" s="114"/>
      <c r="E3" s="114"/>
      <c r="F3" s="114"/>
      <c r="G3" s="114"/>
      <c r="H3" s="114"/>
      <c r="I3" s="114"/>
      <c r="J3" s="114"/>
      <c r="K3" s="114"/>
      <c r="L3" s="114"/>
      <c r="M3" s="114"/>
      <c r="N3" s="114"/>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26.75" customHeight="1">
      <c r="A5" s="87" t="s">
        <v>477</v>
      </c>
      <c r="B5" s="87"/>
      <c r="C5" s="87"/>
      <c r="D5" s="87"/>
      <c r="E5" s="87"/>
      <c r="F5" s="87"/>
      <c r="G5" s="87"/>
      <c r="H5" s="87"/>
      <c r="I5" s="87"/>
      <c r="J5" s="87"/>
      <c r="K5" s="87"/>
      <c r="L5" s="87"/>
      <c r="M5" s="87"/>
      <c r="N5" s="87"/>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32">
      <c r="A6" s="58" t="s">
        <v>60</v>
      </c>
      <c r="B6" s="58" t="s">
        <v>101</v>
      </c>
      <c r="C6" s="58" t="s">
        <v>478</v>
      </c>
      <c r="D6" s="58" t="s">
        <v>479</v>
      </c>
      <c r="E6" s="58" t="s">
        <v>480</v>
      </c>
      <c r="F6" s="58" t="s">
        <v>481</v>
      </c>
      <c r="G6" s="58" t="s">
        <v>482</v>
      </c>
      <c r="H6" s="58" t="s">
        <v>483</v>
      </c>
      <c r="I6" s="58" t="s">
        <v>484</v>
      </c>
      <c r="J6" s="58" t="s">
        <v>485</v>
      </c>
      <c r="K6" s="58" t="s">
        <v>486</v>
      </c>
      <c r="L6" s="58" t="s">
        <v>487</v>
      </c>
      <c r="M6" s="58" t="s">
        <v>488</v>
      </c>
      <c r="N6" s="58" t="s">
        <v>489</v>
      </c>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c r="A7" s="1" t="s">
        <v>67</v>
      </c>
      <c r="B7" s="59">
        <f>ROUND('Budget 2026'!D4+'Budget 2026'!D9+'Budget 2026'!D14+'Budget 2026'!D19+'Budget 2026'!D24+'Budget 2026'!D29+'Budget 2026'!D34+'Budget 2026'!D39+'Budget 2026'!D44+'Budget 2026'!D49+'Budget 2026'!D54+'Budget 2026'!D59,0)</f>
        <v>1622196</v>
      </c>
      <c r="C7" s="59">
        <f>ROUND('Rolling Forecast'!D4+'Rolling Forecast'!D9+'Rolling Forecast'!D14+'Rolling Forecast'!D19+'Rolling Forecast'!D24+'Rolling Forecast'!D29+'Rolling Forecast'!D34+'Rolling Forecast'!D39+'Rolling Forecast'!D44+'Rolling Forecast'!D49+'Rolling Forecast'!D54+'Rolling Forecast'!D59,0)</f>
        <v>1604404</v>
      </c>
      <c r="D7" s="16">
        <f>B7/$B$14</f>
        <v>0.29949365471409195</v>
      </c>
      <c r="E7" s="16">
        <f>C7/$C$14</f>
        <v>0.2973157884593432</v>
      </c>
      <c r="F7" s="60">
        <f>ROUND(('Budget 2026'!I4+'Budget 2026'!I9+'Budget 2026'!I14+'Budget 2026'!I19+'Budget 2026'!I24+'Budget 2026'!I29+'Budget 2026'!I34+'Budget 2026'!I39+'Budget 2026'!I44+'Budget 2026'!I49+'Budget 2026'!I54+'Budget 2026'!I59)*1000/B7,2)</f>
        <v>8.8800000000000008</v>
      </c>
      <c r="G7" s="60">
        <f>ROUND(('Rolling Forecast'!F4+'Rolling Forecast'!F9+'Rolling Forecast'!F14+'Rolling Forecast'!F19+'Rolling Forecast'!F24+'Rolling Forecast'!F29+'Rolling Forecast'!F34+'Rolling Forecast'!F39+'Rolling Forecast'!F44+'Rolling Forecast'!F49+'Rolling Forecast'!F54+'Rolling Forecast'!F59)*1000/C7,2)</f>
        <v>8.86</v>
      </c>
      <c r="H7" s="15">
        <f>ROUND((SUM('Rolling Forecast'!D4:D63)-SUM('Budget 2026'!D4:D63))*(('Budget 2026'!D4+'Budget 2026'!D9+'Budget 2026'!D14+'Budget 2026'!D19+'Budget 2026'!D24+'Budget 2026'!D29+'Budget 2026'!D34+'Budget 2026'!D39+'Budget 2026'!D44+'Budget 2026'!D49+'Budget 2026'!D54+'Budget 2026'!D59)/SUM('Budget 2026'!D4:D63))*(('Budget 2026'!I4+'Budget 2026'!I9+'Budget 2026'!I14+'Budget 2026'!I19+'Budget 2026'!I24+'Budget 2026'!I29+'Budget 2026'!I34+'Budget 2026'!I39+'Budget 2026'!I44+'Budget 2026'!I49+'Budget 2026'!I54+'Budget 2026'!I59)*1000/('Budget 2026'!D4+'Budget 2026'!D9+'Budget 2026'!D14+'Budget 2026'!D19+'Budget 2026'!D24+'Budget 2026'!D29+'Budget 2026'!D34+'Budget 2026'!D39+'Budget 2026'!D44+'Budget 2026'!D49+'Budget 2026'!D54+'Budget 2026'!D59))/1000,2)</f>
        <v>-53.61</v>
      </c>
      <c r="I7" s="15">
        <f>ROUND(SUM('Rolling Forecast'!D4:D63)*((('Rolling Forecast'!D4+'Rolling Forecast'!D9+'Rolling Forecast'!D14+'Rolling Forecast'!D19+'Rolling Forecast'!D24+'Rolling Forecast'!D29+'Rolling Forecast'!D34+'Rolling Forecast'!D39+'Rolling Forecast'!D44+'Rolling Forecast'!D49+'Rolling Forecast'!D54+'Rolling Forecast'!D59)/SUM('Rolling Forecast'!D4:D63))-(('Budget 2026'!D4+'Budget 2026'!D9+'Budget 2026'!D14+'Budget 2026'!D19+'Budget 2026'!D24+'Budget 2026'!D29+'Budget 2026'!D34+'Budget 2026'!D39+'Budget 2026'!D44+'Budget 2026'!D49+'Budget 2026'!D54+'Budget 2026'!D59)/SUM('Budget 2026'!D4:D63)))*(('Budget 2026'!I4+'Budget 2026'!I9+'Budget 2026'!I14+'Budget 2026'!I19+'Budget 2026'!I24+'Budget 2026'!I29+'Budget 2026'!I34+'Budget 2026'!I39+'Budget 2026'!I44+'Budget 2026'!I49+'Budget 2026'!I54+'Budget 2026'!I59)*1000/('Budget 2026'!D4+'Budget 2026'!D9+'Budget 2026'!D14+'Budget 2026'!D19+'Budget 2026'!D24+'Budget 2026'!D29+'Budget 2026'!D34+'Budget 2026'!D39+'Budget 2026'!D44+'Budget 2026'!D49+'Budget 2026'!D54+'Budget 2026'!D59))/1000,2)</f>
        <v>-104.31</v>
      </c>
      <c r="J7" s="15">
        <f>ROUND(('Rolling Forecast'!D4+'Rolling Forecast'!D9+'Rolling Forecast'!D14+'Rolling Forecast'!D19+'Rolling Forecast'!D24+'Rolling Forecast'!D29+'Rolling Forecast'!D34+'Rolling Forecast'!D39+'Rolling Forecast'!D44+'Rolling Forecast'!D49+'Rolling Forecast'!D54+'Rolling Forecast'!D59)*((('Rolling Forecast'!F4+'Rolling Forecast'!F9+'Rolling Forecast'!F14+'Rolling Forecast'!F19+'Rolling Forecast'!F24+'Rolling Forecast'!F29+'Rolling Forecast'!F34+'Rolling Forecast'!F39+'Rolling Forecast'!F44+'Rolling Forecast'!F49+'Rolling Forecast'!F54+'Rolling Forecast'!F59)*1000/('Rolling Forecast'!D4+'Rolling Forecast'!D9+'Rolling Forecast'!D14+'Rolling Forecast'!D19+'Rolling Forecast'!D24+'Rolling Forecast'!D29+'Rolling Forecast'!D34+'Rolling Forecast'!D39+'Rolling Forecast'!D44+'Rolling Forecast'!D49+'Rolling Forecast'!D54+'Rolling Forecast'!D59))-(('Budget 2026'!I4+'Budget 2026'!I9+'Budget 2026'!I14+'Budget 2026'!I19+'Budget 2026'!I24+'Budget 2026'!I29+'Budget 2026'!I34+'Budget 2026'!I39+'Budget 2026'!I44+'Budget 2026'!I49+'Budget 2026'!I54+'Budget 2026'!I59)*1000/('Budget 2026'!D4+'Budget 2026'!D9+'Budget 2026'!D14+'Budget 2026'!D19+'Budget 2026'!D24+'Budget 2026'!D29+'Budget 2026'!D34+'Budget 2026'!D39+'Budget 2026'!D44+'Budget 2026'!D49+'Budget 2026'!D54+'Budget 2026'!D59)))/1000,2)</f>
        <v>-27.35</v>
      </c>
      <c r="K7" s="15">
        <f>ROUND(H7+I7+J7,2)</f>
        <v>-185.27</v>
      </c>
      <c r="L7" s="15">
        <f>ROUND(('Rolling Forecast'!F4+'Rolling Forecast'!F9+'Rolling Forecast'!F14+'Rolling Forecast'!F19+'Rolling Forecast'!F24+'Rolling Forecast'!F29+'Rolling Forecast'!F34+'Rolling Forecast'!F39+'Rolling Forecast'!F44+'Rolling Forecast'!F49+'Rolling Forecast'!F54+'Rolling Forecast'!F59)-('Budget 2026'!I4+'Budget 2026'!I9+'Budget 2026'!I14+'Budget 2026'!I19+'Budget 2026'!I24+'Budget 2026'!I29+'Budget 2026'!I34+'Budget 2026'!I39+'Budget 2026'!I44+'Budget 2026'!I49+'Budget 2026'!I54+'Budget 2026'!I59),2)</f>
        <v>-185.27</v>
      </c>
      <c r="M7" s="15">
        <f t="shared" ref="M7:M12" si="0">ROUND(K7-L7,2)</f>
        <v>0</v>
      </c>
      <c r="N7" s="1" t="str">
        <f>IF(ABS(H7)&gt;=ABS(I7),IF(ABS(H7)&gt;=ABS(J7),"Volume","Price"),IF(ABS(I7)&gt;=ABS(J7),"Mix","Price"))</f>
        <v>Mix</v>
      </c>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c r="A8" s="1" t="s">
        <v>68</v>
      </c>
      <c r="B8" s="59">
        <f>ROUND('Budget 2026'!D5+'Budget 2026'!D10+'Budget 2026'!D15+'Budget 2026'!D20+'Budget 2026'!D25+'Budget 2026'!D30+'Budget 2026'!D35+'Budget 2026'!D40+'Budget 2026'!D45+'Budget 2026'!D50+'Budget 2026'!D55+'Budget 2026'!D60,0)</f>
        <v>1263283</v>
      </c>
      <c r="C8" s="59">
        <f>ROUND('Rolling Forecast'!D5+'Rolling Forecast'!D10+'Rolling Forecast'!D15+'Rolling Forecast'!D20+'Rolling Forecast'!D25+'Rolling Forecast'!D30+'Rolling Forecast'!D35+'Rolling Forecast'!D40+'Rolling Forecast'!D45+'Rolling Forecast'!D50+'Rolling Forecast'!D55+'Rolling Forecast'!D60,0)</f>
        <v>1269142</v>
      </c>
      <c r="D8" s="16">
        <f>B8/$B$14</f>
        <v>0.23323028943985946</v>
      </c>
      <c r="E8" s="16">
        <f>C8/$C$14</f>
        <v>0.23518761758065163</v>
      </c>
      <c r="F8" s="60">
        <f>ROUND(('Budget 2026'!I5+'Budget 2026'!I10+'Budget 2026'!I15+'Budget 2026'!I20+'Budget 2026'!I25+'Budget 2026'!I30+'Budget 2026'!I35+'Budget 2026'!I40+'Budget 2026'!I45+'Budget 2026'!I50+'Budget 2026'!I55+'Budget 2026'!I60)*1000/B8,2)</f>
        <v>10.75</v>
      </c>
      <c r="G8" s="60">
        <f>ROUND(('Rolling Forecast'!F5+'Rolling Forecast'!F10+'Rolling Forecast'!F15+'Rolling Forecast'!F20+'Rolling Forecast'!F25+'Rolling Forecast'!F30+'Rolling Forecast'!F35+'Rolling Forecast'!F40+'Rolling Forecast'!F45+'Rolling Forecast'!F50+'Rolling Forecast'!F55+'Rolling Forecast'!F60)*1000/C8,2)</f>
        <v>10.74</v>
      </c>
      <c r="H8" s="15">
        <f>ROUND((SUM('Rolling Forecast'!D4:D63)-SUM('Budget 2026'!D4:D63))*(('Budget 2026'!D5+'Budget 2026'!D10+'Budget 2026'!D15+'Budget 2026'!D20+'Budget 2026'!D25+'Budget 2026'!D30+'Budget 2026'!D35+'Budget 2026'!D40+'Budget 2026'!D45+'Budget 2026'!D50+'Budget 2026'!D55+'Budget 2026'!D60)/SUM('Budget 2026'!D4:D63))*(('Budget 2026'!I5+'Budget 2026'!I10+'Budget 2026'!I15+'Budget 2026'!I20+'Budget 2026'!I25+'Budget 2026'!I30+'Budget 2026'!I35+'Budget 2026'!I40+'Budget 2026'!I45+'Budget 2026'!I50+'Budget 2026'!I55+'Budget 2026'!I60)*1000/('Budget 2026'!D5+'Budget 2026'!D10+'Budget 2026'!D15+'Budget 2026'!D20+'Budget 2026'!D25+'Budget 2026'!D30+'Budget 2026'!D35+'Budget 2026'!D40+'Budget 2026'!D45+'Budget 2026'!D50+'Budget 2026'!D55+'Budget 2026'!D60))/1000,2)</f>
        <v>-50.57</v>
      </c>
      <c r="I8" s="15">
        <f>ROUND(SUM('Rolling Forecast'!D4:D63)*((('Rolling Forecast'!D5+'Rolling Forecast'!D10+'Rolling Forecast'!D15+'Rolling Forecast'!D20+'Rolling Forecast'!D25+'Rolling Forecast'!D30+'Rolling Forecast'!D35+'Rolling Forecast'!D40+'Rolling Forecast'!D45+'Rolling Forecast'!D50+'Rolling Forecast'!D55+'Rolling Forecast'!D60)/SUM('Rolling Forecast'!D4:D63))-(('Budget 2026'!D5+'Budget 2026'!D10+'Budget 2026'!D15+'Budget 2026'!D20+'Budget 2026'!D25+'Budget 2026'!D30+'Budget 2026'!D35+'Budget 2026'!D40+'Budget 2026'!D45+'Budget 2026'!D50+'Budget 2026'!D55+'Budget 2026'!D60)/SUM('Budget 2026'!D4:D63)))*(('Budget 2026'!I5+'Budget 2026'!I10+'Budget 2026'!I15+'Budget 2026'!I20+'Budget 2026'!I25+'Budget 2026'!I30+'Budget 2026'!I35+'Budget 2026'!I40+'Budget 2026'!I45+'Budget 2026'!I50+'Budget 2026'!I55+'Budget 2026'!I60)*1000/('Budget 2026'!D5+'Budget 2026'!D10+'Budget 2026'!D15+'Budget 2026'!D20+'Budget 2026'!D25+'Budget 2026'!D30+'Budget 2026'!D35+'Budget 2026'!D40+'Budget 2026'!D45+'Budget 2026'!D50+'Budget 2026'!D55+'Budget 2026'!D60))/1000,2)</f>
        <v>113.56</v>
      </c>
      <c r="J8" s="15">
        <f>ROUND(('Rolling Forecast'!D5+'Rolling Forecast'!D10+'Rolling Forecast'!D15+'Rolling Forecast'!D20+'Rolling Forecast'!D25+'Rolling Forecast'!D30+'Rolling Forecast'!D35+'Rolling Forecast'!D40+'Rolling Forecast'!D45+'Rolling Forecast'!D50+'Rolling Forecast'!D55+'Rolling Forecast'!D60)*((('Rolling Forecast'!F5+'Rolling Forecast'!F10+'Rolling Forecast'!F15+'Rolling Forecast'!F20+'Rolling Forecast'!F25+'Rolling Forecast'!F30+'Rolling Forecast'!F35+'Rolling Forecast'!F40+'Rolling Forecast'!F45+'Rolling Forecast'!F50+'Rolling Forecast'!F55+'Rolling Forecast'!F60)*1000/('Rolling Forecast'!D5+'Rolling Forecast'!D10+'Rolling Forecast'!D15+'Rolling Forecast'!D20+'Rolling Forecast'!D25+'Rolling Forecast'!D30+'Rolling Forecast'!D35+'Rolling Forecast'!D40+'Rolling Forecast'!D45+'Rolling Forecast'!D50+'Rolling Forecast'!D55+'Rolling Forecast'!D60))-(('Budget 2026'!I5+'Budget 2026'!I10+'Budget 2026'!I15+'Budget 2026'!I20+'Budget 2026'!I25+'Budget 2026'!I30+'Budget 2026'!I35+'Budget 2026'!I40+'Budget 2026'!I45+'Budget 2026'!I50+'Budget 2026'!I55+'Budget 2026'!I60)*1000/('Budget 2026'!D5+'Budget 2026'!D10+'Budget 2026'!D15+'Budget 2026'!D20+'Budget 2026'!D25+'Budget 2026'!D30+'Budget 2026'!D35+'Budget 2026'!D40+'Budget 2026'!D45+'Budget 2026'!D50+'Budget 2026'!D55+'Budget 2026'!D60)))/1000,2)</f>
        <v>-17.13</v>
      </c>
      <c r="K8" s="15">
        <f>ROUND(H8+I8+J8,2)</f>
        <v>45.86</v>
      </c>
      <c r="L8" s="15">
        <f>ROUND(('Rolling Forecast'!F5+'Rolling Forecast'!F10+'Rolling Forecast'!F15+'Rolling Forecast'!F20+'Rolling Forecast'!F25+'Rolling Forecast'!F30+'Rolling Forecast'!F35+'Rolling Forecast'!F40+'Rolling Forecast'!F45+'Rolling Forecast'!F50+'Rolling Forecast'!F55+'Rolling Forecast'!F60)-('Budget 2026'!I5+'Budget 2026'!I10+'Budget 2026'!I15+'Budget 2026'!I20+'Budget 2026'!I25+'Budget 2026'!I30+'Budget 2026'!I35+'Budget 2026'!I40+'Budget 2026'!I45+'Budget 2026'!I50+'Budget 2026'!I55+'Budget 2026'!I60),2)</f>
        <v>45.85</v>
      </c>
      <c r="M8" s="15">
        <f t="shared" si="0"/>
        <v>0.01</v>
      </c>
      <c r="N8" s="1" t="str">
        <f>IF(ABS(H8)&gt;=ABS(I8),IF(ABS(H8)&gt;=ABS(J8),"Volume","Price"),IF(ABS(I8)&gt;=ABS(J8),"Mix","Price"))</f>
        <v>Mix</v>
      </c>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c r="A9" s="1" t="s">
        <v>69</v>
      </c>
      <c r="B9" s="59">
        <f>ROUND('Budget 2026'!D6+'Budget 2026'!D11+'Budget 2026'!D16+'Budget 2026'!D21+'Budget 2026'!D26+'Budget 2026'!D31+'Budget 2026'!D36+'Budget 2026'!D41+'Budget 2026'!D46+'Budget 2026'!D51+'Budget 2026'!D56+'Budget 2026'!D61,0)</f>
        <v>1021772</v>
      </c>
      <c r="C9" s="59">
        <f>ROUND('Rolling Forecast'!D6+'Rolling Forecast'!D11+'Rolling Forecast'!D16+'Rolling Forecast'!D21+'Rolling Forecast'!D26+'Rolling Forecast'!D31+'Rolling Forecast'!D36+'Rolling Forecast'!D41+'Rolling Forecast'!D46+'Rolling Forecast'!D51+'Rolling Forecast'!D56+'Rolling Forecast'!D61,0)</f>
        <v>1008855</v>
      </c>
      <c r="D9" s="16">
        <f>B9/$B$14</f>
        <v>0.18864195853307933</v>
      </c>
      <c r="E9" s="16">
        <f>C9/$C$14</f>
        <v>0.18695323607155723</v>
      </c>
      <c r="F9" s="60">
        <f>ROUND(('Budget 2026'!I6+'Budget 2026'!I11+'Budget 2026'!I16+'Budget 2026'!I21+'Budget 2026'!I26+'Budget 2026'!I31+'Budget 2026'!I36+'Budget 2026'!I41+'Budget 2026'!I46+'Budget 2026'!I51+'Budget 2026'!I56+'Budget 2026'!I61)*1000/B9,2)</f>
        <v>15.7</v>
      </c>
      <c r="G9" s="60">
        <f>ROUND(('Rolling Forecast'!F6+'Rolling Forecast'!F11+'Rolling Forecast'!F16+'Rolling Forecast'!F21+'Rolling Forecast'!F26+'Rolling Forecast'!F31+'Rolling Forecast'!F36+'Rolling Forecast'!F41+'Rolling Forecast'!F46+'Rolling Forecast'!F51+'Rolling Forecast'!F56+'Rolling Forecast'!F61)*1000/C9,2)</f>
        <v>15.62</v>
      </c>
      <c r="H9" s="15">
        <f>ROUND((SUM('Rolling Forecast'!D4:D63)-SUM('Budget 2026'!D4:D63))*(('Budget 2026'!D6+'Budget 2026'!D11+'Budget 2026'!D16+'Budget 2026'!D21+'Budget 2026'!D26+'Budget 2026'!D31+'Budget 2026'!D36+'Budget 2026'!D41+'Budget 2026'!D46+'Budget 2026'!D51+'Budget 2026'!D56+'Budget 2026'!D61)/SUM('Budget 2026'!D4:D63))*(('Budget 2026'!I6+'Budget 2026'!I11+'Budget 2026'!I16+'Budget 2026'!I21+'Budget 2026'!I26+'Budget 2026'!I31+'Budget 2026'!I36+'Budget 2026'!I41+'Budget 2026'!I46+'Budget 2026'!I51+'Budget 2026'!I56+'Budget 2026'!I61)*1000/('Budget 2026'!D6+'Budget 2026'!D11+'Budget 2026'!D16+'Budget 2026'!D21+'Budget 2026'!D26+'Budget 2026'!D31+'Budget 2026'!D36+'Budget 2026'!D41+'Budget 2026'!D46+'Budget 2026'!D51+'Budget 2026'!D56+'Budget 2026'!D61))/1000,2)</f>
        <v>-59.73</v>
      </c>
      <c r="I9" s="15">
        <f>ROUND(SUM('Rolling Forecast'!D4:D63)*((('Rolling Forecast'!D6+'Rolling Forecast'!D11+'Rolling Forecast'!D16+'Rolling Forecast'!D21+'Rolling Forecast'!D26+'Rolling Forecast'!D31+'Rolling Forecast'!D36+'Rolling Forecast'!D41+'Rolling Forecast'!D46+'Rolling Forecast'!D51+'Rolling Forecast'!D56+'Rolling Forecast'!D61)/SUM('Rolling Forecast'!D4:D63))-(('Budget 2026'!D6+'Budget 2026'!D11+'Budget 2026'!D16+'Budget 2026'!D21+'Budget 2026'!D26+'Budget 2026'!D31+'Budget 2026'!D36+'Budget 2026'!D41+'Budget 2026'!D46+'Budget 2026'!D51+'Budget 2026'!D56+'Budget 2026'!D61)/SUM('Budget 2026'!D4:D63)))*(('Budget 2026'!I6+'Budget 2026'!I11+'Budget 2026'!I16+'Budget 2026'!I21+'Budget 2026'!I26+'Budget 2026'!I31+'Budget 2026'!I36+'Budget 2026'!I41+'Budget 2026'!I46+'Budget 2026'!I51+'Budget 2026'!I56+'Budget 2026'!I61)*1000/('Budget 2026'!D6+'Budget 2026'!D11+'Budget 2026'!D16+'Budget 2026'!D21+'Budget 2026'!D26+'Budget 2026'!D31+'Budget 2026'!D36+'Budget 2026'!D41+'Budget 2026'!D46+'Budget 2026'!D51+'Budget 2026'!D56+'Budget 2026'!D61))/1000,2)</f>
        <v>-143.09</v>
      </c>
      <c r="J9" s="15">
        <f>ROUND(('Rolling Forecast'!D6+'Rolling Forecast'!D11+'Rolling Forecast'!D16+'Rolling Forecast'!D21+'Rolling Forecast'!D26+'Rolling Forecast'!D31+'Rolling Forecast'!D36+'Rolling Forecast'!D41+'Rolling Forecast'!D46+'Rolling Forecast'!D51+'Rolling Forecast'!D56+'Rolling Forecast'!D61)*((('Rolling Forecast'!F6+'Rolling Forecast'!F11+'Rolling Forecast'!F16+'Rolling Forecast'!F21+'Rolling Forecast'!F26+'Rolling Forecast'!F31+'Rolling Forecast'!F36+'Rolling Forecast'!F41+'Rolling Forecast'!F46+'Rolling Forecast'!F51+'Rolling Forecast'!F56+'Rolling Forecast'!F61)*1000/('Rolling Forecast'!D6+'Rolling Forecast'!D11+'Rolling Forecast'!D16+'Rolling Forecast'!D21+'Rolling Forecast'!D26+'Rolling Forecast'!D31+'Rolling Forecast'!D36+'Rolling Forecast'!D41+'Rolling Forecast'!D46+'Rolling Forecast'!D51+'Rolling Forecast'!D56+'Rolling Forecast'!D61))-(('Budget 2026'!I6+'Budget 2026'!I11+'Budget 2026'!I16+'Budget 2026'!I21+'Budget 2026'!I26+'Budget 2026'!I31+'Budget 2026'!I36+'Budget 2026'!I41+'Budget 2026'!I46+'Budget 2026'!I51+'Budget 2026'!I56+'Budget 2026'!I61)*1000/('Budget 2026'!D6+'Budget 2026'!D11+'Budget 2026'!D16+'Budget 2026'!D21+'Budget 2026'!D26+'Budget 2026'!D31+'Budget 2026'!D36+'Budget 2026'!D41+'Budget 2026'!D46+'Budget 2026'!D51+'Budget 2026'!D56+'Budget 2026'!D61)))/1000,2)</f>
        <v>-85.31</v>
      </c>
      <c r="K9" s="15">
        <f>ROUND(H9+I9+J9,2)</f>
        <v>-288.13</v>
      </c>
      <c r="L9" s="15">
        <f>ROUND(('Rolling Forecast'!F6+'Rolling Forecast'!F11+'Rolling Forecast'!F16+'Rolling Forecast'!F21+'Rolling Forecast'!F26+'Rolling Forecast'!F31+'Rolling Forecast'!F36+'Rolling Forecast'!F41+'Rolling Forecast'!F46+'Rolling Forecast'!F51+'Rolling Forecast'!F56+'Rolling Forecast'!F61)-('Budget 2026'!I6+'Budget 2026'!I11+'Budget 2026'!I16+'Budget 2026'!I21+'Budget 2026'!I26+'Budget 2026'!I31+'Budget 2026'!I36+'Budget 2026'!I41+'Budget 2026'!I46+'Budget 2026'!I51+'Budget 2026'!I56+'Budget 2026'!I61),2)</f>
        <v>-288.14</v>
      </c>
      <c r="M9" s="15">
        <f t="shared" si="0"/>
        <v>0.01</v>
      </c>
      <c r="N9" s="1" t="str">
        <f>IF(ABS(H9)&gt;=ABS(I9),IF(ABS(H9)&gt;=ABS(J9),"Volume","Price"),IF(ABS(I9)&gt;=ABS(J9),"Mix","Price"))</f>
        <v>Mix</v>
      </c>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c r="A10" s="1" t="s">
        <v>70</v>
      </c>
      <c r="B10" s="59">
        <f>ROUND('Budget 2026'!D7+'Budget 2026'!D12+'Budget 2026'!D17+'Budget 2026'!D22+'Budget 2026'!D27+'Budget 2026'!D32+'Budget 2026'!D37+'Budget 2026'!D42+'Budget 2026'!D47+'Budget 2026'!D52+'Budget 2026'!D57+'Budget 2026'!D62,0)</f>
        <v>853500</v>
      </c>
      <c r="C10" s="59">
        <f>ROUND('Rolling Forecast'!D7+'Rolling Forecast'!D12+'Rolling Forecast'!D17+'Rolling Forecast'!D22+'Rolling Forecast'!D27+'Rolling Forecast'!D32+'Rolling Forecast'!D37+'Rolling Forecast'!D42+'Rolling Forecast'!D47+'Rolling Forecast'!D52+'Rolling Forecast'!D57+'Rolling Forecast'!D62,0)</f>
        <v>846135</v>
      </c>
      <c r="D10" s="16">
        <f>B10/$B$14</f>
        <v>0.15757518468697831</v>
      </c>
      <c r="E10" s="16">
        <f>C10/$C$14</f>
        <v>0.15679921931636071</v>
      </c>
      <c r="F10" s="60">
        <f>ROUND(('Budget 2026'!I7+'Budget 2026'!I12+'Budget 2026'!I17+'Budget 2026'!I22+'Budget 2026'!I27+'Budget 2026'!I32+'Budget 2026'!I37+'Budget 2026'!I42+'Budget 2026'!I47+'Budget 2026'!I52+'Budget 2026'!I57+'Budget 2026'!I62)*1000/B10,2)</f>
        <v>13.09</v>
      </c>
      <c r="G10" s="60">
        <f>ROUND(('Rolling Forecast'!F7+'Rolling Forecast'!F12+'Rolling Forecast'!F17+'Rolling Forecast'!F22+'Rolling Forecast'!F27+'Rolling Forecast'!F32+'Rolling Forecast'!F37+'Rolling Forecast'!F42+'Rolling Forecast'!F47+'Rolling Forecast'!F52+'Rolling Forecast'!F57+'Rolling Forecast'!F62)*1000/C10,2)</f>
        <v>13.08</v>
      </c>
      <c r="H10" s="15">
        <f>ROUND((SUM('Rolling Forecast'!D4:D63)-SUM('Budget 2026'!D4:D63))*(('Budget 2026'!D7+'Budget 2026'!D12+'Budget 2026'!D17+'Budget 2026'!D22+'Budget 2026'!D27+'Budget 2026'!D32+'Budget 2026'!D37+'Budget 2026'!D42+'Budget 2026'!D47+'Budget 2026'!D52+'Budget 2026'!D57+'Budget 2026'!D62)/SUM('Budget 2026'!D4:D63))*(('Budget 2026'!I7+'Budget 2026'!I12+'Budget 2026'!I17+'Budget 2026'!I22+'Budget 2026'!I27+'Budget 2026'!I32+'Budget 2026'!I37+'Budget 2026'!I42+'Budget 2026'!I47+'Budget 2026'!I52+'Budget 2026'!I57+'Budget 2026'!I62)*1000/('Budget 2026'!D7+'Budget 2026'!D12+'Budget 2026'!D17+'Budget 2026'!D22+'Budget 2026'!D27+'Budget 2026'!D32+'Budget 2026'!D37+'Budget 2026'!D42+'Budget 2026'!D47+'Budget 2026'!D52+'Budget 2026'!D57+'Budget 2026'!D62))/1000,2)</f>
        <v>-41.59</v>
      </c>
      <c r="I10" s="15">
        <f>ROUND(SUM('Rolling Forecast'!D4:D63)*((('Rolling Forecast'!D7+'Rolling Forecast'!D12+'Rolling Forecast'!D17+'Rolling Forecast'!D22+'Rolling Forecast'!D27+'Rolling Forecast'!D32+'Rolling Forecast'!D37+'Rolling Forecast'!D42+'Rolling Forecast'!D47+'Rolling Forecast'!D52+'Rolling Forecast'!D57+'Rolling Forecast'!D62)/SUM('Rolling Forecast'!D4:D63))-(('Budget 2026'!D7+'Budget 2026'!D12+'Budget 2026'!D17+'Budget 2026'!D22+'Budget 2026'!D27+'Budget 2026'!D32+'Budget 2026'!D37+'Budget 2026'!D42+'Budget 2026'!D47+'Budget 2026'!D52+'Budget 2026'!D57+'Budget 2026'!D62)/SUM('Budget 2026'!D4:D63)))*(('Budget 2026'!I7+'Budget 2026'!I12+'Budget 2026'!I17+'Budget 2026'!I22+'Budget 2026'!I27+'Budget 2026'!I32+'Budget 2026'!I37+'Budget 2026'!I42+'Budget 2026'!I47+'Budget 2026'!I52+'Budget 2026'!I57+'Budget 2026'!I62)*1000/('Budget 2026'!D7+'Budget 2026'!D12+'Budget 2026'!D17+'Budget 2026'!D22+'Budget 2026'!D27+'Budget 2026'!D32+'Budget 2026'!D37+'Budget 2026'!D42+'Budget 2026'!D47+'Budget 2026'!D52+'Budget 2026'!D57+'Budget 2026'!D62))/1000,2)</f>
        <v>-54.8</v>
      </c>
      <c r="J10" s="15">
        <f>ROUND(('Rolling Forecast'!D7+'Rolling Forecast'!D12+'Rolling Forecast'!D17+'Rolling Forecast'!D22+'Rolling Forecast'!D27+'Rolling Forecast'!D32+'Rolling Forecast'!D37+'Rolling Forecast'!D42+'Rolling Forecast'!D47+'Rolling Forecast'!D52+'Rolling Forecast'!D57+'Rolling Forecast'!D62)*((('Rolling Forecast'!F7+'Rolling Forecast'!F12+'Rolling Forecast'!F17+'Rolling Forecast'!F22+'Rolling Forecast'!F27+'Rolling Forecast'!F32+'Rolling Forecast'!F37+'Rolling Forecast'!F42+'Rolling Forecast'!F47+'Rolling Forecast'!F52+'Rolling Forecast'!F57+'Rolling Forecast'!F62)*1000/('Rolling Forecast'!D7+'Rolling Forecast'!D12+'Rolling Forecast'!D17+'Rolling Forecast'!D22+'Rolling Forecast'!D27+'Rolling Forecast'!D32+'Rolling Forecast'!D37+'Rolling Forecast'!D42+'Rolling Forecast'!D47+'Rolling Forecast'!D52+'Rolling Forecast'!D57+'Rolling Forecast'!D62))-(('Budget 2026'!I7+'Budget 2026'!I12+'Budget 2026'!I17+'Budget 2026'!I22+'Budget 2026'!I27+'Budget 2026'!I32+'Budget 2026'!I37+'Budget 2026'!I42+'Budget 2026'!I47+'Budget 2026'!I52+'Budget 2026'!I57+'Budget 2026'!I62)*1000/('Budget 2026'!D7+'Budget 2026'!D12+'Budget 2026'!D17+'Budget 2026'!D22+'Budget 2026'!D27+'Budget 2026'!D32+'Budget 2026'!D37+'Budget 2026'!D42+'Budget 2026'!D47+'Budget 2026'!D52+'Budget 2026'!D57+'Budget 2026'!D62)))/1000,2)</f>
        <v>-4.6500000000000004</v>
      </c>
      <c r="K10" s="15">
        <f>ROUND(H10+I10+J10,2)</f>
        <v>-101.04</v>
      </c>
      <c r="L10" s="15">
        <f>ROUND(('Rolling Forecast'!F7+'Rolling Forecast'!F12+'Rolling Forecast'!F17+'Rolling Forecast'!F22+'Rolling Forecast'!F27+'Rolling Forecast'!F32+'Rolling Forecast'!F37+'Rolling Forecast'!F42+'Rolling Forecast'!F47+'Rolling Forecast'!F52+'Rolling Forecast'!F57+'Rolling Forecast'!F62)-('Budget 2026'!I7+'Budget 2026'!I12+'Budget 2026'!I17+'Budget 2026'!I22+'Budget 2026'!I27+'Budget 2026'!I32+'Budget 2026'!I37+'Budget 2026'!I42+'Budget 2026'!I47+'Budget 2026'!I52+'Budget 2026'!I57+'Budget 2026'!I62),2)</f>
        <v>-101.04</v>
      </c>
      <c r="M10" s="15">
        <f t="shared" si="0"/>
        <v>0</v>
      </c>
      <c r="N10" s="1" t="str">
        <f>IF(ABS(H10)&gt;=ABS(I10),IF(ABS(H10)&gt;=ABS(J10),"Volume","Price"),IF(ABS(I10)&gt;=ABS(J10),"Mix","Price"))</f>
        <v>Mix</v>
      </c>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c r="A11" s="1" t="s">
        <v>71</v>
      </c>
      <c r="B11" s="59">
        <f>ROUND('Budget 2026'!D8+'Budget 2026'!D13+'Budget 2026'!D18+'Budget 2026'!D23+'Budget 2026'!D28+'Budget 2026'!D33+'Budget 2026'!D38+'Budget 2026'!D43+'Budget 2026'!D48+'Budget 2026'!D53+'Budget 2026'!D58+'Budget 2026'!D63,0)</f>
        <v>655711</v>
      </c>
      <c r="C11" s="59">
        <f>ROUND('Rolling Forecast'!D8+'Rolling Forecast'!D13+'Rolling Forecast'!D18+'Rolling Forecast'!D23+'Rolling Forecast'!D28+'Rolling Forecast'!D33+'Rolling Forecast'!D38+'Rolling Forecast'!D43+'Rolling Forecast'!D48+'Rolling Forecast'!D53+'Rolling Forecast'!D58+'Rolling Forecast'!D63,0)</f>
        <v>667760</v>
      </c>
      <c r="D11" s="16">
        <f>B11/$B$14</f>
        <v>0.12105891262599092</v>
      </c>
      <c r="E11" s="16">
        <f>C11/$C$14</f>
        <v>0.12374413857208723</v>
      </c>
      <c r="F11" s="60">
        <f>ROUND(('Budget 2026'!I8+'Budget 2026'!I13+'Budget 2026'!I18+'Budget 2026'!I23+'Budget 2026'!I28+'Budget 2026'!I33+'Budget 2026'!I38+'Budget 2026'!I43+'Budget 2026'!I48+'Budget 2026'!I53+'Budget 2026'!I58+'Budget 2026'!I63)*1000/B11,2)</f>
        <v>20.52</v>
      </c>
      <c r="G11" s="60">
        <f>ROUND(('Rolling Forecast'!F8+'Rolling Forecast'!F13+'Rolling Forecast'!F18+'Rolling Forecast'!F23+'Rolling Forecast'!F28+'Rolling Forecast'!F33+'Rolling Forecast'!F38+'Rolling Forecast'!F43+'Rolling Forecast'!F48+'Rolling Forecast'!F53+'Rolling Forecast'!F58+'Rolling Forecast'!F63)*1000/C11,2)</f>
        <v>20.5</v>
      </c>
      <c r="H11" s="15">
        <f>ROUND((SUM('Rolling Forecast'!D4:D63)-SUM('Budget 2026'!D4:D63))*(('Budget 2026'!D8+'Budget 2026'!D13+'Budget 2026'!D18+'Budget 2026'!D23+'Budget 2026'!D28+'Budget 2026'!D33+'Budget 2026'!D38+'Budget 2026'!D43+'Budget 2026'!D48+'Budget 2026'!D53+'Budget 2026'!D58+'Budget 2026'!D63)/SUM('Budget 2026'!D4:D63))*(('Budget 2026'!I8+'Budget 2026'!I13+'Budget 2026'!I18+'Budget 2026'!I23+'Budget 2026'!I28+'Budget 2026'!I33+'Budget 2026'!I38+'Budget 2026'!I43+'Budget 2026'!I48+'Budget 2026'!I53+'Budget 2026'!I58+'Budget 2026'!I63)*1000/('Budget 2026'!D8+'Budget 2026'!D13+'Budget 2026'!D18+'Budget 2026'!D23+'Budget 2026'!D28+'Budget 2026'!D33+'Budget 2026'!D38+'Budget 2026'!D43+'Budget 2026'!D48+'Budget 2026'!D53+'Budget 2026'!D58+'Budget 2026'!D63))/1000,2)</f>
        <v>-50.1</v>
      </c>
      <c r="I11" s="15">
        <f>ROUND(SUM('Rolling Forecast'!D4:D63)*((('Rolling Forecast'!D8+'Rolling Forecast'!D13+'Rolling Forecast'!D18+'Rolling Forecast'!D23+'Rolling Forecast'!D28+'Rolling Forecast'!D33+'Rolling Forecast'!D38+'Rolling Forecast'!D43+'Rolling Forecast'!D48+'Rolling Forecast'!D53+'Rolling Forecast'!D58+'Rolling Forecast'!D63)/SUM('Rolling Forecast'!D4:D63))-(('Budget 2026'!D8+'Budget 2026'!D13+'Budget 2026'!D18+'Budget 2026'!D23+'Budget 2026'!D28+'Budget 2026'!D33+'Budget 2026'!D38+'Budget 2026'!D43+'Budget 2026'!D48+'Budget 2026'!D53+'Budget 2026'!D58+'Budget 2026'!D63)/SUM('Budget 2026'!D4:D63)))*(('Budget 2026'!I8+'Budget 2026'!I13+'Budget 2026'!I18+'Budget 2026'!I23+'Budget 2026'!I28+'Budget 2026'!I33+'Budget 2026'!I38+'Budget 2026'!I43+'Budget 2026'!I48+'Budget 2026'!I53+'Budget 2026'!I58+'Budget 2026'!I63)*1000/('Budget 2026'!D8+'Budget 2026'!D13+'Budget 2026'!D18+'Budget 2026'!D23+'Budget 2026'!D28+'Budget 2026'!D33+'Budget 2026'!D38+'Budget 2026'!D43+'Budget 2026'!D48+'Budget 2026'!D53+'Budget 2026'!D58+'Budget 2026'!D63))/1000,2)</f>
        <v>297.39</v>
      </c>
      <c r="J11" s="15">
        <f>ROUND(('Rolling Forecast'!D8+'Rolling Forecast'!D13+'Rolling Forecast'!D18+'Rolling Forecast'!D23+'Rolling Forecast'!D28+'Rolling Forecast'!D33+'Rolling Forecast'!D38+'Rolling Forecast'!D43+'Rolling Forecast'!D48+'Rolling Forecast'!D53+'Rolling Forecast'!D58+'Rolling Forecast'!D63)*((('Rolling Forecast'!F8+'Rolling Forecast'!F13+'Rolling Forecast'!F18+'Rolling Forecast'!F23+'Rolling Forecast'!F28+'Rolling Forecast'!F33+'Rolling Forecast'!F38+'Rolling Forecast'!F43+'Rolling Forecast'!F48+'Rolling Forecast'!F53+'Rolling Forecast'!F58+'Rolling Forecast'!F63)*1000/('Rolling Forecast'!D8+'Rolling Forecast'!D13+'Rolling Forecast'!D18+'Rolling Forecast'!D23+'Rolling Forecast'!D28+'Rolling Forecast'!D33+'Rolling Forecast'!D38+'Rolling Forecast'!D43+'Rolling Forecast'!D48+'Rolling Forecast'!D53+'Rolling Forecast'!D58+'Rolling Forecast'!D63))-(('Budget 2026'!I8+'Budget 2026'!I13+'Budget 2026'!I18+'Budget 2026'!I23+'Budget 2026'!I28+'Budget 2026'!I33+'Budget 2026'!I38+'Budget 2026'!I43+'Budget 2026'!I48+'Budget 2026'!I53+'Budget 2026'!I58+'Budget 2026'!I63)*1000/('Budget 2026'!D8+'Budget 2026'!D13+'Budget 2026'!D18+'Budget 2026'!D23+'Budget 2026'!D28+'Budget 2026'!D33+'Budget 2026'!D38+'Budget 2026'!D43+'Budget 2026'!D48+'Budget 2026'!D53+'Budget 2026'!D58+'Budget 2026'!D63)))/1000,2)</f>
        <v>-17.71</v>
      </c>
      <c r="K11" s="15">
        <f>ROUND(H11+I11+J11,2)</f>
        <v>229.58</v>
      </c>
      <c r="L11" s="15">
        <f>ROUND(('Rolling Forecast'!F8+'Rolling Forecast'!F13+'Rolling Forecast'!F18+'Rolling Forecast'!F23+'Rolling Forecast'!F28+'Rolling Forecast'!F33+'Rolling Forecast'!F38+'Rolling Forecast'!F43+'Rolling Forecast'!F48+'Rolling Forecast'!F53+'Rolling Forecast'!F58+'Rolling Forecast'!F63)-('Budget 2026'!I8+'Budget 2026'!I13+'Budget 2026'!I18+'Budget 2026'!I23+'Budget 2026'!I28+'Budget 2026'!I33+'Budget 2026'!I38+'Budget 2026'!I43+'Budget 2026'!I48+'Budget 2026'!I53+'Budget 2026'!I58+'Budget 2026'!I63),2)</f>
        <v>229.57</v>
      </c>
      <c r="M11" s="15">
        <f t="shared" si="0"/>
        <v>0.01</v>
      </c>
      <c r="N11" s="1" t="str">
        <f>IF(ABS(H11)&gt;=ABS(I11),IF(ABS(H11)&gt;=ABS(J11),"Volume","Price"),IF(ABS(I11)&gt;=ABS(J11),"Mix","Price"))</f>
        <v>Mix</v>
      </c>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c r="A12" s="61" t="s">
        <v>490</v>
      </c>
      <c r="B12" s="62">
        <f>ROUND(SUM(B7:B11),2)</f>
        <v>5416462</v>
      </c>
      <c r="C12" s="62">
        <f>ROUND(SUM(C7:C11),2)</f>
        <v>5396296</v>
      </c>
      <c r="D12" s="63">
        <f>SUM(D7:D11)</f>
        <v>0.99999999999999989</v>
      </c>
      <c r="E12" s="63">
        <f>SUM(E7:E11)</f>
        <v>1</v>
      </c>
      <c r="F12" s="64">
        <f>ROUND(SUM('Budget 2026'!I4:I63)*1000/B12,2)</f>
        <v>12.67</v>
      </c>
      <c r="G12" s="64">
        <f>ROUND(SUM('Rolling Forecast'!F4:F63)*1000/C12,2)</f>
        <v>12.67</v>
      </c>
      <c r="H12" s="65">
        <f>ROUND(SUM(H7:H11),2)</f>
        <v>-255.6</v>
      </c>
      <c r="I12" s="65">
        <f>ROUND(SUM(I7:I11),2)</f>
        <v>108.75</v>
      </c>
      <c r="J12" s="65">
        <f>ROUND(SUM(J7:J11),2)</f>
        <v>-152.15</v>
      </c>
      <c r="K12" s="65">
        <f>ROUND(SUM(K7:K11),2)</f>
        <v>-299</v>
      </c>
      <c r="L12" s="65">
        <f>ROUND(SUM(L7:L11),2)</f>
        <v>-299.02999999999997</v>
      </c>
      <c r="M12" s="65">
        <f t="shared" si="0"/>
        <v>0.03</v>
      </c>
      <c r="N12" s="61" t="s">
        <v>491</v>
      </c>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ht="16">
      <c r="A13" s="58" t="s">
        <v>492</v>
      </c>
      <c r="B13" s="58" t="s">
        <v>493</v>
      </c>
      <c r="C13" s="58" t="s">
        <v>108</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c r="A14" s="1" t="s">
        <v>494</v>
      </c>
      <c r="B14" s="18">
        <f>ROUND(SUM('Budget 2026'!D4:D63),0)</f>
        <v>5416462</v>
      </c>
      <c r="C14" s="18">
        <f>ROUND(SUM('Rolling Forecast'!D4:D63),0)</f>
        <v>5396296</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c r="A15" s="1" t="s">
        <v>495</v>
      </c>
      <c r="B15" s="19">
        <f>ROUND(SUM('Budget 2026'!I4:I63)*1000/B14,2)</f>
        <v>12.67</v>
      </c>
      <c r="C15" s="19">
        <f>ROUND(SUM('Rolling Forecast'!F4:F63)*1000/C14,2)</f>
        <v>12.67</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ht="26.75" customHeight="1">
      <c r="A18" s="87" t="s">
        <v>496</v>
      </c>
      <c r="B18" s="87"/>
      <c r="C18" s="87"/>
      <c r="D18" s="87"/>
      <c r="E18" s="87"/>
      <c r="F18" s="87"/>
      <c r="G18" s="87"/>
      <c r="H18" s="87"/>
      <c r="I18" s="87"/>
      <c r="J18" s="87"/>
      <c r="K18" s="87"/>
      <c r="L18" s="87"/>
      <c r="M18" s="87"/>
      <c r="N18" s="87"/>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ht="32">
      <c r="A19" s="58" t="s">
        <v>60</v>
      </c>
      <c r="B19" s="58" t="s">
        <v>105</v>
      </c>
      <c r="C19" s="58" t="s">
        <v>497</v>
      </c>
      <c r="D19" s="58" t="s">
        <v>498</v>
      </c>
      <c r="E19" s="58" t="s">
        <v>499</v>
      </c>
      <c r="F19" s="58" t="s">
        <v>500</v>
      </c>
      <c r="G19" s="58" t="s">
        <v>501</v>
      </c>
      <c r="H19" s="58" t="s">
        <v>502</v>
      </c>
      <c r="I19" s="58" t="s">
        <v>503</v>
      </c>
      <c r="J19" s="58" t="s">
        <v>488</v>
      </c>
      <c r="K19" s="58" t="s">
        <v>504</v>
      </c>
      <c r="L19" s="58" t="s">
        <v>505</v>
      </c>
      <c r="M19" s="58" t="s">
        <v>506</v>
      </c>
      <c r="N19" s="58" t="s">
        <v>129</v>
      </c>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c r="A20" s="1" t="s">
        <v>67</v>
      </c>
      <c r="B20" s="66">
        <f>ROUND(('Budget 2026'!J4+'Budget 2026'!J9+'Budget 2026'!J14+'Budget 2026'!J19+'Budget 2026'!J24+'Budget 2026'!J29+'Budget 2026'!J34+'Budget 2026'!J39+'Budget 2026'!J44+'Budget 2026'!J49+'Budget 2026'!J54+'Budget 2026'!J59)*1000/('Budget 2026'!D4+'Budget 2026'!D9+'Budget 2026'!D14+'Budget 2026'!D19+'Budget 2026'!D24+'Budget 2026'!D29+'Budget 2026'!D34+'Budget 2026'!D39+'Budget 2026'!D44+'Budget 2026'!D49+'Budget 2026'!D54+'Budget 2026'!D59),2)</f>
        <v>4.57</v>
      </c>
      <c r="C20" s="66">
        <f>ROUND(('Rolling Forecast'!H4+'Rolling Forecast'!H9+'Rolling Forecast'!H14+'Rolling Forecast'!H19+'Rolling Forecast'!H24+'Rolling Forecast'!H29+'Rolling Forecast'!H34+'Rolling Forecast'!H39+'Rolling Forecast'!H44+'Rolling Forecast'!H49+'Rolling Forecast'!H54+'Rolling Forecast'!H59)*1000/('Rolling Forecast'!D4+'Rolling Forecast'!D9+'Rolling Forecast'!D14+'Rolling Forecast'!D19+'Rolling Forecast'!D24+'Rolling Forecast'!D29+'Rolling Forecast'!D34+'Rolling Forecast'!D39+'Rolling Forecast'!D44+'Rolling Forecast'!D49+'Rolling Forecast'!D54+'Rolling Forecast'!D59),2)</f>
        <v>4.58</v>
      </c>
      <c r="D20" s="31">
        <f>K7</f>
        <v>-185.27</v>
      </c>
      <c r="E20" s="31">
        <f>ROUND((-(SUM('Rolling Forecast'!D4:D63)-SUM('Budget 2026'!D4:D63))*(('Budget 2026'!D4+'Budget 2026'!D9+'Budget 2026'!D14+'Budget 2026'!D19+'Budget 2026'!D24+'Budget 2026'!D29+'Budget 2026'!D34+'Budget 2026'!D39+'Budget 2026'!D44+'Budget 2026'!D49+'Budget 2026'!D54+'Budget 2026'!D59)/SUM('Budget 2026'!D4:D63))*(('Budget 2026'!J4+'Budget 2026'!J9+'Budget 2026'!J14+'Budget 2026'!J19+'Budget 2026'!J24+'Budget 2026'!J29+'Budget 2026'!J34+'Budget 2026'!J39+'Budget 2026'!J44+'Budget 2026'!J49+'Budget 2026'!J54+'Budget 2026'!J59)*1000/('Budget 2026'!D4+'Budget 2026'!D9+'Budget 2026'!D14+'Budget 2026'!D19+'Budget 2026'!D24+'Budget 2026'!D29+'Budget 2026'!D34+'Budget 2026'!D39+'Budget 2026'!D44+'Budget 2026'!D49+'Budget 2026'!D54+'Budget 2026'!D59))/1000),2)</f>
        <v>27.58</v>
      </c>
      <c r="F20" s="31">
        <f>ROUND((-SUM('Rolling Forecast'!D4:D63)*((('Rolling Forecast'!D4+'Rolling Forecast'!D9+'Rolling Forecast'!D14+'Rolling Forecast'!D19+'Rolling Forecast'!D24+'Rolling Forecast'!D29+'Rolling Forecast'!D34+'Rolling Forecast'!D39+'Rolling Forecast'!D44+'Rolling Forecast'!D49+'Rolling Forecast'!D54+'Rolling Forecast'!D59)/SUM('Rolling Forecast'!D4:D63))-(('Budget 2026'!D4+'Budget 2026'!D9+'Budget 2026'!D14+'Budget 2026'!D19+'Budget 2026'!D24+'Budget 2026'!D29+'Budget 2026'!D34+'Budget 2026'!D39+'Budget 2026'!D44+'Budget 2026'!D49+'Budget 2026'!D54+'Budget 2026'!D59)/SUM('Budget 2026'!D4:D63)))*(('Budget 2026'!J4+'Budget 2026'!J9+'Budget 2026'!J14+'Budget 2026'!J19+'Budget 2026'!J24+'Budget 2026'!J29+'Budget 2026'!J34+'Budget 2026'!J39+'Budget 2026'!J44+'Budget 2026'!J49+'Budget 2026'!J54+'Budget 2026'!J59)*1000/('Budget 2026'!D4+'Budget 2026'!D9+'Budget 2026'!D14+'Budget 2026'!D19+'Budget 2026'!D24+'Budget 2026'!D29+'Budget 2026'!D34+'Budget 2026'!D39+'Budget 2026'!D44+'Budget 2026'!D49+'Budget 2026'!D54+'Budget 2026'!D59))/1000),2)</f>
        <v>53.67</v>
      </c>
      <c r="G20" s="31">
        <f>ROUND((-('Rolling Forecast'!D4+'Rolling Forecast'!D9+'Rolling Forecast'!D14+'Rolling Forecast'!D19+'Rolling Forecast'!D24+'Rolling Forecast'!D29+'Rolling Forecast'!D34+'Rolling Forecast'!D39+'Rolling Forecast'!D44+'Rolling Forecast'!D49+'Rolling Forecast'!D54+'Rolling Forecast'!D59)*((('Rolling Forecast'!H4+'Rolling Forecast'!H9+'Rolling Forecast'!H14+'Rolling Forecast'!H19+'Rolling Forecast'!H24+'Rolling Forecast'!H29+'Rolling Forecast'!H34+'Rolling Forecast'!H39+'Rolling Forecast'!H44+'Rolling Forecast'!H49+'Rolling Forecast'!H54+'Rolling Forecast'!H59)*1000/('Rolling Forecast'!D4+'Rolling Forecast'!D9+'Rolling Forecast'!D14+'Rolling Forecast'!D19+'Rolling Forecast'!D24+'Rolling Forecast'!D29+'Rolling Forecast'!D34+'Rolling Forecast'!D39+'Rolling Forecast'!D44+'Rolling Forecast'!D49+'Rolling Forecast'!D54+'Rolling Forecast'!D59))-(('Budget 2026'!J4+'Budget 2026'!J9+'Budget 2026'!J14+'Budget 2026'!J19+'Budget 2026'!J24+'Budget 2026'!J29+'Budget 2026'!J34+'Budget 2026'!J39+'Budget 2026'!J44+'Budget 2026'!J49+'Budget 2026'!J54+'Budget 2026'!J59)*1000/('Budget 2026'!D4+'Budget 2026'!D9+'Budget 2026'!D14+'Budget 2026'!D19+'Budget 2026'!D24+'Budget 2026'!D29+'Budget 2026'!D34+'Budget 2026'!D39+'Budget 2026'!D44+'Budget 2026'!D49+'Budget 2026'!D54+'Budget 2026'!D59)))/1000),2)</f>
        <v>-22.66</v>
      </c>
      <c r="H20" s="31">
        <f>ROUND((('Rolling Forecast'!F4+'Rolling Forecast'!F9+'Rolling Forecast'!F14+'Rolling Forecast'!F19+'Rolling Forecast'!F24+'Rolling Forecast'!F29+'Rolling Forecast'!F34+'Rolling Forecast'!F39+'Rolling Forecast'!F44+'Rolling Forecast'!F49+'Rolling Forecast'!F54+'Rolling Forecast'!F59)-('Budget 2026'!I4+'Budget 2026'!I9+'Budget 2026'!I14+'Budget 2026'!I19+'Budget 2026'!I24+'Budget 2026'!I29+'Budget 2026'!I34+'Budget 2026'!I39+'Budget 2026'!I44+'Budget 2026'!I49+'Budget 2026'!I54+'Budget 2026'!I59))+(-(SUM('Rolling Forecast'!D4:D63)-SUM('Budget 2026'!D4:D63))*(('Budget 2026'!D4+'Budget 2026'!D9+'Budget 2026'!D14+'Budget 2026'!D19+'Budget 2026'!D24+'Budget 2026'!D29+'Budget 2026'!D34+'Budget 2026'!D39+'Budget 2026'!D44+'Budget 2026'!D49+'Budget 2026'!D54+'Budget 2026'!D59)/SUM('Budget 2026'!D4:D63))*(('Budget 2026'!J4+'Budget 2026'!J9+'Budget 2026'!J14+'Budget 2026'!J19+'Budget 2026'!J24+'Budget 2026'!J29+'Budget 2026'!J34+'Budget 2026'!J39+'Budget 2026'!J44+'Budget 2026'!J49+'Budget 2026'!J54+'Budget 2026'!J59)*1000/('Budget 2026'!D4+'Budget 2026'!D9+'Budget 2026'!D14+'Budget 2026'!D19+'Budget 2026'!D24+'Budget 2026'!D29+'Budget 2026'!D34+'Budget 2026'!D39+'Budget 2026'!D44+'Budget 2026'!D49+'Budget 2026'!D54+'Budget 2026'!D59))/1000)+(-SUM('Rolling Forecast'!D4:D63)*((('Rolling Forecast'!D4+'Rolling Forecast'!D9+'Rolling Forecast'!D14+'Rolling Forecast'!D19+'Rolling Forecast'!D24+'Rolling Forecast'!D29+'Rolling Forecast'!D34+'Rolling Forecast'!D39+'Rolling Forecast'!D44+'Rolling Forecast'!D49+'Rolling Forecast'!D54+'Rolling Forecast'!D59)/SUM('Rolling Forecast'!D4:D63))-(('Budget 2026'!D4+'Budget 2026'!D9+'Budget 2026'!D14+'Budget 2026'!D19+'Budget 2026'!D24+'Budget 2026'!D29+'Budget 2026'!D34+'Budget 2026'!D39+'Budget 2026'!D44+'Budget 2026'!D49+'Budget 2026'!D54+'Budget 2026'!D59)/SUM('Budget 2026'!D4:D63)))*(('Budget 2026'!J4+'Budget 2026'!J9+'Budget 2026'!J14+'Budget 2026'!J19+'Budget 2026'!J24+'Budget 2026'!J29+'Budget 2026'!J34+'Budget 2026'!J39+'Budget 2026'!J44+'Budget 2026'!J49+'Budget 2026'!J54+'Budget 2026'!J59)*1000/('Budget 2026'!D4+'Budget 2026'!D9+'Budget 2026'!D14+'Budget 2026'!D19+'Budget 2026'!D24+'Budget 2026'!D29+'Budget 2026'!D34+'Budget 2026'!D39+'Budget 2026'!D44+'Budget 2026'!D49+'Budget 2026'!D54+'Budget 2026'!D59))/1000)+(-('Rolling Forecast'!D4+'Rolling Forecast'!D9+'Rolling Forecast'!D14+'Rolling Forecast'!D19+'Rolling Forecast'!D24+'Rolling Forecast'!D29+'Rolling Forecast'!D34+'Rolling Forecast'!D39+'Rolling Forecast'!D44+'Rolling Forecast'!D49+'Rolling Forecast'!D54+'Rolling Forecast'!D59)*((('Rolling Forecast'!H4+'Rolling Forecast'!H9+'Rolling Forecast'!H14+'Rolling Forecast'!H19+'Rolling Forecast'!H24+'Rolling Forecast'!H29+'Rolling Forecast'!H34+'Rolling Forecast'!H39+'Rolling Forecast'!H44+'Rolling Forecast'!H49+'Rolling Forecast'!H54+'Rolling Forecast'!H59)*1000/('Rolling Forecast'!D4+'Rolling Forecast'!D9+'Rolling Forecast'!D14+'Rolling Forecast'!D19+'Rolling Forecast'!D24+'Rolling Forecast'!D29+'Rolling Forecast'!D34+'Rolling Forecast'!D39+'Rolling Forecast'!D44+'Rolling Forecast'!D49+'Rolling Forecast'!D54+'Rolling Forecast'!D59))-(('Budget 2026'!J4+'Budget 2026'!J9+'Budget 2026'!J14+'Budget 2026'!J19+'Budget 2026'!J24+'Budget 2026'!J29+'Budget 2026'!J34+'Budget 2026'!J39+'Budget 2026'!J44+'Budget 2026'!J49+'Budget 2026'!J54+'Budget 2026'!J59)*1000/('Budget 2026'!D4+'Budget 2026'!D9+'Budget 2026'!D14+'Budget 2026'!D19+'Budget 2026'!D24+'Budget 2026'!D29+'Budget 2026'!D34+'Budget 2026'!D39+'Budget 2026'!D44+'Budget 2026'!D49+'Budget 2026'!D54+'Budget 2026'!D59)))/1000),2)</f>
        <v>-126.68</v>
      </c>
      <c r="I20" s="31">
        <f>ROUND(('Rolling Forecast'!I4+'Rolling Forecast'!I9+'Rolling Forecast'!I14+'Rolling Forecast'!I19+'Rolling Forecast'!I24+'Rolling Forecast'!I29+'Rolling Forecast'!I34+'Rolling Forecast'!I39+'Rolling Forecast'!I44+'Rolling Forecast'!I49+'Rolling Forecast'!I54+'Rolling Forecast'!I59)-('Budget 2026'!K4+'Budget 2026'!K9+'Budget 2026'!K14+'Budget 2026'!K19+'Budget 2026'!K24+'Budget 2026'!K29+'Budget 2026'!K34+'Budget 2026'!K39+'Budget 2026'!K44+'Budget 2026'!K49+'Budget 2026'!K54+'Budget 2026'!K59),2)</f>
        <v>-126.68</v>
      </c>
      <c r="J20" s="31">
        <f>ROUND(H20-I20,2)</f>
        <v>0</v>
      </c>
      <c r="K20" s="31">
        <f>ROUND(('Budget 2026'!K4+'Budget 2026'!K9+'Budget 2026'!K14+'Budget 2026'!K19+'Budget 2026'!K24+'Budget 2026'!K29+'Budget 2026'!K34+'Budget 2026'!K39+'Budget 2026'!K44+'Budget 2026'!K49+'Budget 2026'!K54+'Budget 2026'!K59),0)</f>
        <v>6991</v>
      </c>
      <c r="L20" s="31">
        <f>ROUND(('Rolling Forecast'!I4+'Rolling Forecast'!I9+'Rolling Forecast'!I14+'Rolling Forecast'!I19+'Rolling Forecast'!I24+'Rolling Forecast'!I29+'Rolling Forecast'!I34+'Rolling Forecast'!I39+'Rolling Forecast'!I44+'Rolling Forecast'!I49+'Rolling Forecast'!I54+'Rolling Forecast'!I59),0)</f>
        <v>6864</v>
      </c>
      <c r="M20" s="67">
        <f>K20/('Budget 2026'!I4+'Budget 2026'!I9+'Budget 2026'!I14+'Budget 2026'!I19+'Budget 2026'!I24+'Budget 2026'!I29+'Budget 2026'!I34+'Budget 2026'!I39+'Budget 2026'!I44+'Budget 2026'!I49+'Budget 2026'!I54+'Budget 2026'!I59)</f>
        <v>0.48553665708963534</v>
      </c>
      <c r="N20" s="67">
        <f>L20/('Rolling Forecast'!F4+'Rolling Forecast'!F9+'Rolling Forecast'!F14+'Rolling Forecast'!F19+'Rolling Forecast'!F24+'Rolling Forecast'!F29+'Rolling Forecast'!F34+'Rolling Forecast'!F39+'Rolling Forecast'!F44+'Rolling Forecast'!F49+'Rolling Forecast'!F54+'Rolling Forecast'!F59)</f>
        <v>0.48293042543303683</v>
      </c>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c r="A21" s="1" t="s">
        <v>68</v>
      </c>
      <c r="B21" s="66">
        <f>ROUND(('Budget 2026'!J5+'Budget 2026'!J10+'Budget 2026'!J15+'Budget 2026'!J20+'Budget 2026'!J25+'Budget 2026'!J30+'Budget 2026'!J35+'Budget 2026'!J40+'Budget 2026'!J45+'Budget 2026'!J50+'Budget 2026'!J55+'Budget 2026'!J60)*1000/('Budget 2026'!D5+'Budget 2026'!D10+'Budget 2026'!D15+'Budget 2026'!D20+'Budget 2026'!D25+'Budget 2026'!D30+'Budget 2026'!D35+'Budget 2026'!D40+'Budget 2026'!D45+'Budget 2026'!D50+'Budget 2026'!D55+'Budget 2026'!D60),2)</f>
        <v>5.97</v>
      </c>
      <c r="C21" s="66">
        <f>ROUND(('Rolling Forecast'!H5+'Rolling Forecast'!H10+'Rolling Forecast'!H15+'Rolling Forecast'!H20+'Rolling Forecast'!H25+'Rolling Forecast'!H30+'Rolling Forecast'!H35+'Rolling Forecast'!H40+'Rolling Forecast'!H45+'Rolling Forecast'!H50+'Rolling Forecast'!H55+'Rolling Forecast'!H60)*1000/('Rolling Forecast'!D5+'Rolling Forecast'!D10+'Rolling Forecast'!D15+'Rolling Forecast'!D20+'Rolling Forecast'!D25+'Rolling Forecast'!D30+'Rolling Forecast'!D35+'Rolling Forecast'!D40+'Rolling Forecast'!D45+'Rolling Forecast'!D50+'Rolling Forecast'!D55+'Rolling Forecast'!D60),2)</f>
        <v>5.97</v>
      </c>
      <c r="D21" s="31">
        <f>K8</f>
        <v>45.86</v>
      </c>
      <c r="E21" s="31">
        <f>ROUND((-(SUM('Rolling Forecast'!D4:D63)-SUM('Budget 2026'!D4:D63))*(('Budget 2026'!D5+'Budget 2026'!D10+'Budget 2026'!D15+'Budget 2026'!D20+'Budget 2026'!D25+'Budget 2026'!D30+'Budget 2026'!D35+'Budget 2026'!D40+'Budget 2026'!D45+'Budget 2026'!D50+'Budget 2026'!D55+'Budget 2026'!D60)/SUM('Budget 2026'!D4:D63))*(('Budget 2026'!J5+'Budget 2026'!J10+'Budget 2026'!J15+'Budget 2026'!J20+'Budget 2026'!J25+'Budget 2026'!J30+'Budget 2026'!J35+'Budget 2026'!J40+'Budget 2026'!J45+'Budget 2026'!J50+'Budget 2026'!J55+'Budget 2026'!J60)*1000/('Budget 2026'!D5+'Budget 2026'!D10+'Budget 2026'!D15+'Budget 2026'!D20+'Budget 2026'!D25+'Budget 2026'!D30+'Budget 2026'!D35+'Budget 2026'!D40+'Budget 2026'!D45+'Budget 2026'!D50+'Budget 2026'!D55+'Budget 2026'!D60))/1000),2)</f>
        <v>28.09</v>
      </c>
      <c r="F21" s="31">
        <f>ROUND((-SUM('Rolling Forecast'!D4:D63)*((('Rolling Forecast'!D5+'Rolling Forecast'!D10+'Rolling Forecast'!D15+'Rolling Forecast'!D20+'Rolling Forecast'!D25+'Rolling Forecast'!D30+'Rolling Forecast'!D35+'Rolling Forecast'!D40+'Rolling Forecast'!D45+'Rolling Forecast'!D50+'Rolling Forecast'!D55+'Rolling Forecast'!D60)/SUM('Rolling Forecast'!D4:D63))-(('Budget 2026'!D5+'Budget 2026'!D10+'Budget 2026'!D15+'Budget 2026'!D20+'Budget 2026'!D25+'Budget 2026'!D30+'Budget 2026'!D35+'Budget 2026'!D40+'Budget 2026'!D45+'Budget 2026'!D50+'Budget 2026'!D55+'Budget 2026'!D60)/SUM('Budget 2026'!D4:D63)))*(('Budget 2026'!J5+'Budget 2026'!J10+'Budget 2026'!J15+'Budget 2026'!J20+'Budget 2026'!J25+'Budget 2026'!J30+'Budget 2026'!J35+'Budget 2026'!J40+'Budget 2026'!J45+'Budget 2026'!J50+'Budget 2026'!J55+'Budget 2026'!J60)*1000/('Budget 2026'!D5+'Budget 2026'!D10+'Budget 2026'!D15+'Budget 2026'!D20+'Budget 2026'!D25+'Budget 2026'!D30+'Budget 2026'!D35+'Budget 2026'!D40+'Budget 2026'!D45+'Budget 2026'!D50+'Budget 2026'!D55+'Budget 2026'!D60))/1000),2)</f>
        <v>-63.07</v>
      </c>
      <c r="G21" s="31">
        <f>ROUND((-('Rolling Forecast'!D5+'Rolling Forecast'!D10+'Rolling Forecast'!D15+'Rolling Forecast'!D20+'Rolling Forecast'!D25+'Rolling Forecast'!D30+'Rolling Forecast'!D35+'Rolling Forecast'!D40+'Rolling Forecast'!D45+'Rolling Forecast'!D50+'Rolling Forecast'!D55+'Rolling Forecast'!D60)*((('Rolling Forecast'!H5+'Rolling Forecast'!H10+'Rolling Forecast'!H15+'Rolling Forecast'!H20+'Rolling Forecast'!H25+'Rolling Forecast'!H30+'Rolling Forecast'!H35+'Rolling Forecast'!H40+'Rolling Forecast'!H45+'Rolling Forecast'!H50+'Rolling Forecast'!H55+'Rolling Forecast'!H60)*1000/('Rolling Forecast'!D5+'Rolling Forecast'!D10+'Rolling Forecast'!D15+'Rolling Forecast'!D20+'Rolling Forecast'!D25+'Rolling Forecast'!D30+'Rolling Forecast'!D35+'Rolling Forecast'!D40+'Rolling Forecast'!D45+'Rolling Forecast'!D50+'Rolling Forecast'!D55+'Rolling Forecast'!D60))-(('Budget 2026'!J5+'Budget 2026'!J10+'Budget 2026'!J15+'Budget 2026'!J20+'Budget 2026'!J25+'Budget 2026'!J30+'Budget 2026'!J35+'Budget 2026'!J40+'Budget 2026'!J45+'Budget 2026'!J50+'Budget 2026'!J55+'Budget 2026'!J60)*1000/('Budget 2026'!D5+'Budget 2026'!D10+'Budget 2026'!D15+'Budget 2026'!D20+'Budget 2026'!D25+'Budget 2026'!D30+'Budget 2026'!D35+'Budget 2026'!D40+'Budget 2026'!D45+'Budget 2026'!D50+'Budget 2026'!D55+'Budget 2026'!D60)))/1000),2)</f>
        <v>6.3</v>
      </c>
      <c r="H21" s="31">
        <f>ROUND((('Rolling Forecast'!F5+'Rolling Forecast'!F10+'Rolling Forecast'!F15+'Rolling Forecast'!F20+'Rolling Forecast'!F25+'Rolling Forecast'!F30+'Rolling Forecast'!F35+'Rolling Forecast'!F40+'Rolling Forecast'!F45+'Rolling Forecast'!F50+'Rolling Forecast'!F55+'Rolling Forecast'!F60)-('Budget 2026'!I5+'Budget 2026'!I10+'Budget 2026'!I15+'Budget 2026'!I20+'Budget 2026'!I25+'Budget 2026'!I30+'Budget 2026'!I35+'Budget 2026'!I40+'Budget 2026'!I45+'Budget 2026'!I50+'Budget 2026'!I55+'Budget 2026'!I60))+(-(SUM('Rolling Forecast'!D4:D63)-SUM('Budget 2026'!D4:D63))*(('Budget 2026'!D5+'Budget 2026'!D10+'Budget 2026'!D15+'Budget 2026'!D20+'Budget 2026'!D25+'Budget 2026'!D30+'Budget 2026'!D35+'Budget 2026'!D40+'Budget 2026'!D45+'Budget 2026'!D50+'Budget 2026'!D55+'Budget 2026'!D60)/SUM('Budget 2026'!D4:D63))*(('Budget 2026'!J5+'Budget 2026'!J10+'Budget 2026'!J15+'Budget 2026'!J20+'Budget 2026'!J25+'Budget 2026'!J30+'Budget 2026'!J35+'Budget 2026'!J40+'Budget 2026'!J45+'Budget 2026'!J50+'Budget 2026'!J55+'Budget 2026'!J60)*1000/('Budget 2026'!D5+'Budget 2026'!D10+'Budget 2026'!D15+'Budget 2026'!D20+'Budget 2026'!D25+'Budget 2026'!D30+'Budget 2026'!D35+'Budget 2026'!D40+'Budget 2026'!D45+'Budget 2026'!D50+'Budget 2026'!D55+'Budget 2026'!D60))/1000)+(-SUM('Rolling Forecast'!D4:D63)*((('Rolling Forecast'!D5+'Rolling Forecast'!D10+'Rolling Forecast'!D15+'Rolling Forecast'!D20+'Rolling Forecast'!D25+'Rolling Forecast'!D30+'Rolling Forecast'!D35+'Rolling Forecast'!D40+'Rolling Forecast'!D45+'Rolling Forecast'!D50+'Rolling Forecast'!D55+'Rolling Forecast'!D60)/SUM('Rolling Forecast'!D4:D63))-(('Budget 2026'!D5+'Budget 2026'!D10+'Budget 2026'!D15+'Budget 2026'!D20+'Budget 2026'!D25+'Budget 2026'!D30+'Budget 2026'!D35+'Budget 2026'!D40+'Budget 2026'!D45+'Budget 2026'!D50+'Budget 2026'!D55+'Budget 2026'!D60)/SUM('Budget 2026'!D4:D63)))*(('Budget 2026'!J5+'Budget 2026'!J10+'Budget 2026'!J15+'Budget 2026'!J20+'Budget 2026'!J25+'Budget 2026'!J30+'Budget 2026'!J35+'Budget 2026'!J40+'Budget 2026'!J45+'Budget 2026'!J50+'Budget 2026'!J55+'Budget 2026'!J60)*1000/('Budget 2026'!D5+'Budget 2026'!D10+'Budget 2026'!D15+'Budget 2026'!D20+'Budget 2026'!D25+'Budget 2026'!D30+'Budget 2026'!D35+'Budget 2026'!D40+'Budget 2026'!D45+'Budget 2026'!D50+'Budget 2026'!D55+'Budget 2026'!D60))/1000)+(-('Rolling Forecast'!D5+'Rolling Forecast'!D10+'Rolling Forecast'!D15+'Rolling Forecast'!D20+'Rolling Forecast'!D25+'Rolling Forecast'!D30+'Rolling Forecast'!D35+'Rolling Forecast'!D40+'Rolling Forecast'!D45+'Rolling Forecast'!D50+'Rolling Forecast'!D55+'Rolling Forecast'!D60)*((('Rolling Forecast'!H5+'Rolling Forecast'!H10+'Rolling Forecast'!H15+'Rolling Forecast'!H20+'Rolling Forecast'!H25+'Rolling Forecast'!H30+'Rolling Forecast'!H35+'Rolling Forecast'!H40+'Rolling Forecast'!H45+'Rolling Forecast'!H50+'Rolling Forecast'!H55+'Rolling Forecast'!H60)*1000/('Rolling Forecast'!D5+'Rolling Forecast'!D10+'Rolling Forecast'!D15+'Rolling Forecast'!D20+'Rolling Forecast'!D25+'Rolling Forecast'!D30+'Rolling Forecast'!D35+'Rolling Forecast'!D40+'Rolling Forecast'!D45+'Rolling Forecast'!D50+'Rolling Forecast'!D55+'Rolling Forecast'!D60))-(('Budget 2026'!J5+'Budget 2026'!J10+'Budget 2026'!J15+'Budget 2026'!J20+'Budget 2026'!J25+'Budget 2026'!J30+'Budget 2026'!J35+'Budget 2026'!J40+'Budget 2026'!J45+'Budget 2026'!J50+'Budget 2026'!J55+'Budget 2026'!J60)*1000/('Budget 2026'!D5+'Budget 2026'!D10+'Budget 2026'!D15+'Budget 2026'!D20+'Budget 2026'!D25+'Budget 2026'!D30+'Budget 2026'!D35+'Budget 2026'!D40+'Budget 2026'!D45+'Budget 2026'!D50+'Budget 2026'!D55+'Budget 2026'!D60)))/1000),2)</f>
        <v>17.16</v>
      </c>
      <c r="I21" s="31">
        <f>ROUND(('Rolling Forecast'!I5+'Rolling Forecast'!I10+'Rolling Forecast'!I15+'Rolling Forecast'!I20+'Rolling Forecast'!I25+'Rolling Forecast'!I30+'Rolling Forecast'!I35+'Rolling Forecast'!I40+'Rolling Forecast'!I45+'Rolling Forecast'!I50+'Rolling Forecast'!I55+'Rolling Forecast'!I60)-('Budget 2026'!K5+'Budget 2026'!K10+'Budget 2026'!K15+'Budget 2026'!K20+'Budget 2026'!K25+'Budget 2026'!K30+'Budget 2026'!K35+'Budget 2026'!K40+'Budget 2026'!K45+'Budget 2026'!K50+'Budget 2026'!K55+'Budget 2026'!K60),2)</f>
        <v>17.16</v>
      </c>
      <c r="J21" s="31">
        <f>ROUND(H21-I21,2)</f>
        <v>0</v>
      </c>
      <c r="K21" s="31">
        <f>ROUND(('Budget 2026'!K5+'Budget 2026'!K10+'Budget 2026'!K15+'Budget 2026'!K20+'Budget 2026'!K25+'Budget 2026'!K30+'Budget 2026'!K35+'Budget 2026'!K40+'Budget 2026'!K45+'Budget 2026'!K50+'Budget 2026'!K55+'Budget 2026'!K60),0)</f>
        <v>6038</v>
      </c>
      <c r="L21" s="31">
        <f>ROUND(('Rolling Forecast'!I5+'Rolling Forecast'!I10+'Rolling Forecast'!I15+'Rolling Forecast'!I20+'Rolling Forecast'!I25+'Rolling Forecast'!I30+'Rolling Forecast'!I35+'Rolling Forecast'!I40+'Rolling Forecast'!I45+'Rolling Forecast'!I50+'Rolling Forecast'!I55+'Rolling Forecast'!I60),0)</f>
        <v>6055</v>
      </c>
      <c r="M21" s="67">
        <f>K21/('Budget 2026'!I5+'Budget 2026'!I10+'Budget 2026'!I15+'Budget 2026'!I20+'Budget 2026'!I25+'Budget 2026'!I30+'Budget 2026'!I35+'Budget 2026'!I40+'Budget 2026'!I45+'Budget 2026'!I50+'Budget 2026'!I55+'Budget 2026'!I60)</f>
        <v>0.44455621474358326</v>
      </c>
      <c r="N21" s="67">
        <f>L21/('Rolling Forecast'!F5+'Rolling Forecast'!F10+'Rolling Forecast'!F15+'Rolling Forecast'!F20+'Rolling Forecast'!F25+'Rolling Forecast'!F30+'Rolling Forecast'!F35+'Rolling Forecast'!F40+'Rolling Forecast'!F45+'Rolling Forecast'!F50+'Rolling Forecast'!F55+'Rolling Forecast'!F60)</f>
        <v>0.4443078652349875</v>
      </c>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c r="A22" s="1" t="s">
        <v>69</v>
      </c>
      <c r="B22" s="66">
        <f>ROUND(('Budget 2026'!J6+'Budget 2026'!J11+'Budget 2026'!J16+'Budget 2026'!J21+'Budget 2026'!J26+'Budget 2026'!J31+'Budget 2026'!J36+'Budget 2026'!J41+'Budget 2026'!J46+'Budget 2026'!J51+'Budget 2026'!J56+'Budget 2026'!J61)*1000/('Budget 2026'!D6+'Budget 2026'!D11+'Budget 2026'!D16+'Budget 2026'!D21+'Budget 2026'!D26+'Budget 2026'!D31+'Budget 2026'!D36+'Budget 2026'!D41+'Budget 2026'!D46+'Budget 2026'!D51+'Budget 2026'!D56+'Budget 2026'!D61),2)</f>
        <v>8.24</v>
      </c>
      <c r="C22" s="66">
        <f>ROUND(('Rolling Forecast'!H6+'Rolling Forecast'!H11+'Rolling Forecast'!H16+'Rolling Forecast'!H21+'Rolling Forecast'!H26+'Rolling Forecast'!H31+'Rolling Forecast'!H36+'Rolling Forecast'!H41+'Rolling Forecast'!H46+'Rolling Forecast'!H51+'Rolling Forecast'!H56+'Rolling Forecast'!H61)*1000/('Rolling Forecast'!D6+'Rolling Forecast'!D11+'Rolling Forecast'!D16+'Rolling Forecast'!D21+'Rolling Forecast'!D26+'Rolling Forecast'!D31+'Rolling Forecast'!D36+'Rolling Forecast'!D41+'Rolling Forecast'!D46+'Rolling Forecast'!D51+'Rolling Forecast'!D56+'Rolling Forecast'!D61),2)</f>
        <v>8.2100000000000009</v>
      </c>
      <c r="D22" s="31">
        <f>K9</f>
        <v>-288.13</v>
      </c>
      <c r="E22" s="31">
        <f>ROUND((-(SUM('Rolling Forecast'!D4:D63)-SUM('Budget 2026'!D4:D63))*(('Budget 2026'!D6+'Budget 2026'!D11+'Budget 2026'!D16+'Budget 2026'!D21+'Budget 2026'!D26+'Budget 2026'!D31+'Budget 2026'!D36+'Budget 2026'!D41+'Budget 2026'!D46+'Budget 2026'!D51+'Budget 2026'!D56+'Budget 2026'!D61)/SUM('Budget 2026'!D4:D63))*(('Budget 2026'!J6+'Budget 2026'!J11+'Budget 2026'!J16+'Budget 2026'!J21+'Budget 2026'!J26+'Budget 2026'!J31+'Budget 2026'!J36+'Budget 2026'!J41+'Budget 2026'!J46+'Budget 2026'!J51+'Budget 2026'!J56+'Budget 2026'!J61)*1000/('Budget 2026'!D6+'Budget 2026'!D11+'Budget 2026'!D16+'Budget 2026'!D21+'Budget 2026'!D26+'Budget 2026'!D31+'Budget 2026'!D36+'Budget 2026'!D41+'Budget 2026'!D46+'Budget 2026'!D51+'Budget 2026'!D56+'Budget 2026'!D61))/1000),2)</f>
        <v>31.34</v>
      </c>
      <c r="F22" s="31">
        <f>ROUND((-SUM('Rolling Forecast'!D4:D63)*((('Rolling Forecast'!D6+'Rolling Forecast'!D11+'Rolling Forecast'!D16+'Rolling Forecast'!D21+'Rolling Forecast'!D26+'Rolling Forecast'!D31+'Rolling Forecast'!D36+'Rolling Forecast'!D41+'Rolling Forecast'!D46+'Rolling Forecast'!D51+'Rolling Forecast'!D56+'Rolling Forecast'!D61)/SUM('Rolling Forecast'!D4:D63))-(('Budget 2026'!D6+'Budget 2026'!D11+'Budget 2026'!D16+'Budget 2026'!D21+'Budget 2026'!D26+'Budget 2026'!D31+'Budget 2026'!D36+'Budget 2026'!D41+'Budget 2026'!D46+'Budget 2026'!D51+'Budget 2026'!D56+'Budget 2026'!D61)/SUM('Budget 2026'!D4:D63)))*(('Budget 2026'!J6+'Budget 2026'!J11+'Budget 2026'!J16+'Budget 2026'!J21+'Budget 2026'!J26+'Budget 2026'!J31+'Budget 2026'!J36+'Budget 2026'!J41+'Budget 2026'!J46+'Budget 2026'!J51+'Budget 2026'!J56+'Budget 2026'!J61)*1000/('Budget 2026'!D6+'Budget 2026'!D11+'Budget 2026'!D16+'Budget 2026'!D21+'Budget 2026'!D26+'Budget 2026'!D31+'Budget 2026'!D36+'Budget 2026'!D41+'Budget 2026'!D46+'Budget 2026'!D51+'Budget 2026'!D56+'Budget 2026'!D61))/1000),2)</f>
        <v>75.069999999999993</v>
      </c>
      <c r="G22" s="31">
        <f>ROUND((-('Rolling Forecast'!D6+'Rolling Forecast'!D11+'Rolling Forecast'!D16+'Rolling Forecast'!D21+'Rolling Forecast'!D26+'Rolling Forecast'!D31+'Rolling Forecast'!D36+'Rolling Forecast'!D41+'Rolling Forecast'!D46+'Rolling Forecast'!D51+'Rolling Forecast'!D56+'Rolling Forecast'!D61)*((('Rolling Forecast'!H6+'Rolling Forecast'!H11+'Rolling Forecast'!H16+'Rolling Forecast'!H21+'Rolling Forecast'!H26+'Rolling Forecast'!H31+'Rolling Forecast'!H36+'Rolling Forecast'!H41+'Rolling Forecast'!H46+'Rolling Forecast'!H51+'Rolling Forecast'!H56+'Rolling Forecast'!H61)*1000/('Rolling Forecast'!D6+'Rolling Forecast'!D11+'Rolling Forecast'!D16+'Rolling Forecast'!D21+'Rolling Forecast'!D26+'Rolling Forecast'!D31+'Rolling Forecast'!D36+'Rolling Forecast'!D41+'Rolling Forecast'!D46+'Rolling Forecast'!D51+'Rolling Forecast'!D56+'Rolling Forecast'!D61))-(('Budget 2026'!J6+'Budget 2026'!J11+'Budget 2026'!J16+'Budget 2026'!J21+'Budget 2026'!J26+'Budget 2026'!J31+'Budget 2026'!J36+'Budget 2026'!J41+'Budget 2026'!J46+'Budget 2026'!J51+'Budget 2026'!J56+'Budget 2026'!J61)*1000/('Budget 2026'!D6+'Budget 2026'!D11+'Budget 2026'!D16+'Budget 2026'!D21+'Budget 2026'!D26+'Budget 2026'!D31+'Budget 2026'!D36+'Budget 2026'!D41+'Budget 2026'!D46+'Budget 2026'!D51+'Budget 2026'!D56+'Budget 2026'!D61)))/1000),2)</f>
        <v>31.33</v>
      </c>
      <c r="H22" s="31">
        <f>ROUND((('Rolling Forecast'!F6+'Rolling Forecast'!F11+'Rolling Forecast'!F16+'Rolling Forecast'!F21+'Rolling Forecast'!F26+'Rolling Forecast'!F31+'Rolling Forecast'!F36+'Rolling Forecast'!F41+'Rolling Forecast'!F46+'Rolling Forecast'!F51+'Rolling Forecast'!F56+'Rolling Forecast'!F61)-('Budget 2026'!I6+'Budget 2026'!I11+'Budget 2026'!I16+'Budget 2026'!I21+'Budget 2026'!I26+'Budget 2026'!I31+'Budget 2026'!I36+'Budget 2026'!I41+'Budget 2026'!I46+'Budget 2026'!I51+'Budget 2026'!I56+'Budget 2026'!I61))+(-(SUM('Rolling Forecast'!D4:D63)-SUM('Budget 2026'!D4:D63))*(('Budget 2026'!D6+'Budget 2026'!D11+'Budget 2026'!D16+'Budget 2026'!D21+'Budget 2026'!D26+'Budget 2026'!D31+'Budget 2026'!D36+'Budget 2026'!D41+'Budget 2026'!D46+'Budget 2026'!D51+'Budget 2026'!D56+'Budget 2026'!D61)/SUM('Budget 2026'!D4:D63))*(('Budget 2026'!J6+'Budget 2026'!J11+'Budget 2026'!J16+'Budget 2026'!J21+'Budget 2026'!J26+'Budget 2026'!J31+'Budget 2026'!J36+'Budget 2026'!J41+'Budget 2026'!J46+'Budget 2026'!J51+'Budget 2026'!J56+'Budget 2026'!J61)*1000/('Budget 2026'!D6+'Budget 2026'!D11+'Budget 2026'!D16+'Budget 2026'!D21+'Budget 2026'!D26+'Budget 2026'!D31+'Budget 2026'!D36+'Budget 2026'!D41+'Budget 2026'!D46+'Budget 2026'!D51+'Budget 2026'!D56+'Budget 2026'!D61))/1000)+(-SUM('Rolling Forecast'!D4:D63)*((('Rolling Forecast'!D6+'Rolling Forecast'!D11+'Rolling Forecast'!D16+'Rolling Forecast'!D21+'Rolling Forecast'!D26+'Rolling Forecast'!D31+'Rolling Forecast'!D36+'Rolling Forecast'!D41+'Rolling Forecast'!D46+'Rolling Forecast'!D51+'Rolling Forecast'!D56+'Rolling Forecast'!D61)/SUM('Rolling Forecast'!D4:D63))-(('Budget 2026'!D6+'Budget 2026'!D11+'Budget 2026'!D16+'Budget 2026'!D21+'Budget 2026'!D26+'Budget 2026'!D31+'Budget 2026'!D36+'Budget 2026'!D41+'Budget 2026'!D46+'Budget 2026'!D51+'Budget 2026'!D56+'Budget 2026'!D61)/SUM('Budget 2026'!D4:D63)))*(('Budget 2026'!J6+'Budget 2026'!J11+'Budget 2026'!J16+'Budget 2026'!J21+'Budget 2026'!J26+'Budget 2026'!J31+'Budget 2026'!J36+'Budget 2026'!J41+'Budget 2026'!J46+'Budget 2026'!J51+'Budget 2026'!J56+'Budget 2026'!J61)*1000/('Budget 2026'!D6+'Budget 2026'!D11+'Budget 2026'!D16+'Budget 2026'!D21+'Budget 2026'!D26+'Budget 2026'!D31+'Budget 2026'!D36+'Budget 2026'!D41+'Budget 2026'!D46+'Budget 2026'!D51+'Budget 2026'!D56+'Budget 2026'!D61))/1000)+(-('Rolling Forecast'!D6+'Rolling Forecast'!D11+'Rolling Forecast'!D16+'Rolling Forecast'!D21+'Rolling Forecast'!D26+'Rolling Forecast'!D31+'Rolling Forecast'!D36+'Rolling Forecast'!D41+'Rolling Forecast'!D46+'Rolling Forecast'!D51+'Rolling Forecast'!D56+'Rolling Forecast'!D61)*((('Rolling Forecast'!H6+'Rolling Forecast'!H11+'Rolling Forecast'!H16+'Rolling Forecast'!H21+'Rolling Forecast'!H26+'Rolling Forecast'!H31+'Rolling Forecast'!H36+'Rolling Forecast'!H41+'Rolling Forecast'!H46+'Rolling Forecast'!H51+'Rolling Forecast'!H56+'Rolling Forecast'!H61)*1000/('Rolling Forecast'!D6+'Rolling Forecast'!D11+'Rolling Forecast'!D16+'Rolling Forecast'!D21+'Rolling Forecast'!D26+'Rolling Forecast'!D31+'Rolling Forecast'!D36+'Rolling Forecast'!D41+'Rolling Forecast'!D46+'Rolling Forecast'!D51+'Rolling Forecast'!D56+'Rolling Forecast'!D61))-(('Budget 2026'!J6+'Budget 2026'!J11+'Budget 2026'!J16+'Budget 2026'!J21+'Budget 2026'!J26+'Budget 2026'!J31+'Budget 2026'!J36+'Budget 2026'!J41+'Budget 2026'!J46+'Budget 2026'!J51+'Budget 2026'!J56+'Budget 2026'!J61)*1000/('Budget 2026'!D6+'Budget 2026'!D11+'Budget 2026'!D16+'Budget 2026'!D21+'Budget 2026'!D26+'Budget 2026'!D31+'Budget 2026'!D36+'Budget 2026'!D41+'Budget 2026'!D46+'Budget 2026'!D51+'Budget 2026'!D56+'Budget 2026'!D61)))/1000),2)</f>
        <v>-150.4</v>
      </c>
      <c r="I22" s="31">
        <f>ROUND(('Rolling Forecast'!I6+'Rolling Forecast'!I11+'Rolling Forecast'!I16+'Rolling Forecast'!I21+'Rolling Forecast'!I26+'Rolling Forecast'!I31+'Rolling Forecast'!I36+'Rolling Forecast'!I41+'Rolling Forecast'!I46+'Rolling Forecast'!I51+'Rolling Forecast'!I56+'Rolling Forecast'!I61)-('Budget 2026'!K6+'Budget 2026'!K11+'Budget 2026'!K16+'Budget 2026'!K21+'Budget 2026'!K26+'Budget 2026'!K31+'Budget 2026'!K36+'Budget 2026'!K41+'Budget 2026'!K46+'Budget 2026'!K51+'Budget 2026'!K56+'Budget 2026'!K61),2)</f>
        <v>-150.4</v>
      </c>
      <c r="J22" s="31">
        <f>ROUND(H22-I22,2)</f>
        <v>0</v>
      </c>
      <c r="K22" s="31">
        <f>ROUND(('Budget 2026'!K6+'Budget 2026'!K11+'Budget 2026'!K16+'Budget 2026'!K21+'Budget 2026'!K26+'Budget 2026'!K31+'Budget 2026'!K36+'Budget 2026'!K41+'Budget 2026'!K46+'Budget 2026'!K51+'Budget 2026'!K56+'Budget 2026'!K61),0)</f>
        <v>7626</v>
      </c>
      <c r="L22" s="31">
        <f>ROUND(('Rolling Forecast'!I6+'Rolling Forecast'!I11+'Rolling Forecast'!I16+'Rolling Forecast'!I21+'Rolling Forecast'!I26+'Rolling Forecast'!I31+'Rolling Forecast'!I36+'Rolling Forecast'!I41+'Rolling Forecast'!I46+'Rolling Forecast'!I51+'Rolling Forecast'!I56+'Rolling Forecast'!I61),0)</f>
        <v>7476</v>
      </c>
      <c r="M22" s="67">
        <f>K22/('Budget 2026'!I6+'Budget 2026'!I11+'Budget 2026'!I16+'Budget 2026'!I21+'Budget 2026'!I26+'Budget 2026'!I31+'Budget 2026'!I36+'Budget 2026'!I41+'Budget 2026'!I46+'Budget 2026'!I51+'Budget 2026'!I56+'Budget 2026'!I61)</f>
        <v>0.47532734131084314</v>
      </c>
      <c r="N22" s="67">
        <f>L22/('Rolling Forecast'!F6+'Rolling Forecast'!F11+'Rolling Forecast'!F16+'Rolling Forecast'!F21+'Rolling Forecast'!F26+'Rolling Forecast'!F31+'Rolling Forecast'!F36+'Rolling Forecast'!F41+'Rolling Forecast'!F46+'Rolling Forecast'!F51+'Rolling Forecast'!F56+'Rolling Forecast'!F61)</f>
        <v>0.47449964166761788</v>
      </c>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c r="A23" s="1" t="s">
        <v>70</v>
      </c>
      <c r="B23" s="66">
        <f>ROUND(('Budget 2026'!J7+'Budget 2026'!J12+'Budget 2026'!J17+'Budget 2026'!J22+'Budget 2026'!J27+'Budget 2026'!J32+'Budget 2026'!J37+'Budget 2026'!J42+'Budget 2026'!J47+'Budget 2026'!J52+'Budget 2026'!J57+'Budget 2026'!J62)*1000/('Budget 2026'!D7+'Budget 2026'!D12+'Budget 2026'!D17+'Budget 2026'!D22+'Budget 2026'!D27+'Budget 2026'!D32+'Budget 2026'!D37+'Budget 2026'!D42+'Budget 2026'!D47+'Budget 2026'!D52+'Budget 2026'!D57+'Budget 2026'!D62),2)</f>
        <v>6.86</v>
      </c>
      <c r="C23" s="66">
        <f>ROUND(('Rolling Forecast'!H7+'Rolling Forecast'!H12+'Rolling Forecast'!H17+'Rolling Forecast'!H22+'Rolling Forecast'!H27+'Rolling Forecast'!H32+'Rolling Forecast'!H37+'Rolling Forecast'!H42+'Rolling Forecast'!H47+'Rolling Forecast'!H52+'Rolling Forecast'!H57+'Rolling Forecast'!H62)*1000/('Rolling Forecast'!D7+'Rolling Forecast'!D12+'Rolling Forecast'!D17+'Rolling Forecast'!D22+'Rolling Forecast'!D27+'Rolling Forecast'!D32+'Rolling Forecast'!D37+'Rolling Forecast'!D42+'Rolling Forecast'!D47+'Rolling Forecast'!D52+'Rolling Forecast'!D57+'Rolling Forecast'!D62),2)</f>
        <v>6.85</v>
      </c>
      <c r="D23" s="31">
        <f>K10</f>
        <v>-101.04</v>
      </c>
      <c r="E23" s="31">
        <f>ROUND((-(SUM('Rolling Forecast'!D4:D63)-SUM('Budget 2026'!D4:D63))*(('Budget 2026'!D7+'Budget 2026'!D12+'Budget 2026'!D17+'Budget 2026'!D22+'Budget 2026'!D27+'Budget 2026'!D32+'Budget 2026'!D37+'Budget 2026'!D42+'Budget 2026'!D47+'Budget 2026'!D52+'Budget 2026'!D57+'Budget 2026'!D62)/SUM('Budget 2026'!D4:D63))*(('Budget 2026'!J7+'Budget 2026'!J12+'Budget 2026'!J17+'Budget 2026'!J22+'Budget 2026'!J27+'Budget 2026'!J32+'Budget 2026'!J37+'Budget 2026'!J42+'Budget 2026'!J47+'Budget 2026'!J52+'Budget 2026'!J57+'Budget 2026'!J62)*1000/('Budget 2026'!D7+'Budget 2026'!D12+'Budget 2026'!D17+'Budget 2026'!D22+'Budget 2026'!D27+'Budget 2026'!D32+'Budget 2026'!D37+'Budget 2026'!D42+'Budget 2026'!D47+'Budget 2026'!D52+'Budget 2026'!D57+'Budget 2026'!D62))/1000),2)</f>
        <v>21.8</v>
      </c>
      <c r="F23" s="31">
        <f>ROUND((-SUM('Rolling Forecast'!D4:D63)*((('Rolling Forecast'!D7+'Rolling Forecast'!D12+'Rolling Forecast'!D17+'Rolling Forecast'!D22+'Rolling Forecast'!D27+'Rolling Forecast'!D32+'Rolling Forecast'!D37+'Rolling Forecast'!D42+'Rolling Forecast'!D47+'Rolling Forecast'!D52+'Rolling Forecast'!D57+'Rolling Forecast'!D62)/SUM('Rolling Forecast'!D4:D63))-(('Budget 2026'!D7+'Budget 2026'!D12+'Budget 2026'!D17+'Budget 2026'!D22+'Budget 2026'!D27+'Budget 2026'!D32+'Budget 2026'!D37+'Budget 2026'!D42+'Budget 2026'!D47+'Budget 2026'!D52+'Budget 2026'!D57+'Budget 2026'!D62)/SUM('Budget 2026'!D4:D63)))*(('Budget 2026'!J7+'Budget 2026'!J12+'Budget 2026'!J17+'Budget 2026'!J22+'Budget 2026'!J27+'Budget 2026'!J32+'Budget 2026'!J37+'Budget 2026'!J42+'Budget 2026'!J47+'Budget 2026'!J52+'Budget 2026'!J57+'Budget 2026'!J62)*1000/('Budget 2026'!D7+'Budget 2026'!D12+'Budget 2026'!D17+'Budget 2026'!D22+'Budget 2026'!D27+'Budget 2026'!D32+'Budget 2026'!D37+'Budget 2026'!D42+'Budget 2026'!D47+'Budget 2026'!D52+'Budget 2026'!D57+'Budget 2026'!D62))/1000),2)</f>
        <v>28.72</v>
      </c>
      <c r="G23" s="31">
        <f>ROUND((-('Rolling Forecast'!D7+'Rolling Forecast'!D12+'Rolling Forecast'!D17+'Rolling Forecast'!D22+'Rolling Forecast'!D27+'Rolling Forecast'!D32+'Rolling Forecast'!D37+'Rolling Forecast'!D42+'Rolling Forecast'!D47+'Rolling Forecast'!D52+'Rolling Forecast'!D57+'Rolling Forecast'!D62)*((('Rolling Forecast'!H7+'Rolling Forecast'!H12+'Rolling Forecast'!H17+'Rolling Forecast'!H22+'Rolling Forecast'!H27+'Rolling Forecast'!H32+'Rolling Forecast'!H37+'Rolling Forecast'!H42+'Rolling Forecast'!H47+'Rolling Forecast'!H52+'Rolling Forecast'!H57+'Rolling Forecast'!H62)*1000/('Rolling Forecast'!D7+'Rolling Forecast'!D12+'Rolling Forecast'!D17+'Rolling Forecast'!D22+'Rolling Forecast'!D27+'Rolling Forecast'!D32+'Rolling Forecast'!D37+'Rolling Forecast'!D42+'Rolling Forecast'!D47+'Rolling Forecast'!D52+'Rolling Forecast'!D57+'Rolling Forecast'!D62))-(('Budget 2026'!J7+'Budget 2026'!J12+'Budget 2026'!J17+'Budget 2026'!J22+'Budget 2026'!J27+'Budget 2026'!J32+'Budget 2026'!J37+'Budget 2026'!J42+'Budget 2026'!J47+'Budget 2026'!J52+'Budget 2026'!J57+'Budget 2026'!J62)*1000/('Budget 2026'!D7+'Budget 2026'!D12+'Budget 2026'!D17+'Budget 2026'!D22+'Budget 2026'!D27+'Budget 2026'!D32+'Budget 2026'!D37+'Budget 2026'!D42+'Budget 2026'!D47+'Budget 2026'!D52+'Budget 2026'!D57+'Budget 2026'!D62)))/1000),2)</f>
        <v>7.21</v>
      </c>
      <c r="H23" s="31">
        <f>ROUND((('Rolling Forecast'!F7+'Rolling Forecast'!F12+'Rolling Forecast'!F17+'Rolling Forecast'!F22+'Rolling Forecast'!F27+'Rolling Forecast'!F32+'Rolling Forecast'!F37+'Rolling Forecast'!F42+'Rolling Forecast'!F47+'Rolling Forecast'!F52+'Rolling Forecast'!F57+'Rolling Forecast'!F62)-('Budget 2026'!I7+'Budget 2026'!I12+'Budget 2026'!I17+'Budget 2026'!I22+'Budget 2026'!I27+'Budget 2026'!I32+'Budget 2026'!I37+'Budget 2026'!I42+'Budget 2026'!I47+'Budget 2026'!I52+'Budget 2026'!I57+'Budget 2026'!I62))+(-(SUM('Rolling Forecast'!D4:D63)-SUM('Budget 2026'!D4:D63))*(('Budget 2026'!D7+'Budget 2026'!D12+'Budget 2026'!D17+'Budget 2026'!D22+'Budget 2026'!D27+'Budget 2026'!D32+'Budget 2026'!D37+'Budget 2026'!D42+'Budget 2026'!D47+'Budget 2026'!D52+'Budget 2026'!D57+'Budget 2026'!D62)/SUM('Budget 2026'!D4:D63))*(('Budget 2026'!J7+'Budget 2026'!J12+'Budget 2026'!J17+'Budget 2026'!J22+'Budget 2026'!J27+'Budget 2026'!J32+'Budget 2026'!J37+'Budget 2026'!J42+'Budget 2026'!J47+'Budget 2026'!J52+'Budget 2026'!J57+'Budget 2026'!J62)*1000/('Budget 2026'!D7+'Budget 2026'!D12+'Budget 2026'!D17+'Budget 2026'!D22+'Budget 2026'!D27+'Budget 2026'!D32+'Budget 2026'!D37+'Budget 2026'!D42+'Budget 2026'!D47+'Budget 2026'!D52+'Budget 2026'!D57+'Budget 2026'!D62))/1000)+(-SUM('Rolling Forecast'!D4:D63)*((('Rolling Forecast'!D7+'Rolling Forecast'!D12+'Rolling Forecast'!D17+'Rolling Forecast'!D22+'Rolling Forecast'!D27+'Rolling Forecast'!D32+'Rolling Forecast'!D37+'Rolling Forecast'!D42+'Rolling Forecast'!D47+'Rolling Forecast'!D52+'Rolling Forecast'!D57+'Rolling Forecast'!D62)/SUM('Rolling Forecast'!D4:D63))-(('Budget 2026'!D7+'Budget 2026'!D12+'Budget 2026'!D17+'Budget 2026'!D22+'Budget 2026'!D27+'Budget 2026'!D32+'Budget 2026'!D37+'Budget 2026'!D42+'Budget 2026'!D47+'Budget 2026'!D52+'Budget 2026'!D57+'Budget 2026'!D62)/SUM('Budget 2026'!D4:D63)))*(('Budget 2026'!J7+'Budget 2026'!J12+'Budget 2026'!J17+'Budget 2026'!J22+'Budget 2026'!J27+'Budget 2026'!J32+'Budget 2026'!J37+'Budget 2026'!J42+'Budget 2026'!J47+'Budget 2026'!J52+'Budget 2026'!J57+'Budget 2026'!J62)*1000/('Budget 2026'!D7+'Budget 2026'!D12+'Budget 2026'!D17+'Budget 2026'!D22+'Budget 2026'!D27+'Budget 2026'!D32+'Budget 2026'!D37+'Budget 2026'!D42+'Budget 2026'!D47+'Budget 2026'!D52+'Budget 2026'!D57+'Budget 2026'!D62))/1000)+(-('Rolling Forecast'!D7+'Rolling Forecast'!D12+'Rolling Forecast'!D17+'Rolling Forecast'!D22+'Rolling Forecast'!D27+'Rolling Forecast'!D32+'Rolling Forecast'!D37+'Rolling Forecast'!D42+'Rolling Forecast'!D47+'Rolling Forecast'!D52+'Rolling Forecast'!D57+'Rolling Forecast'!D62)*((('Rolling Forecast'!H7+'Rolling Forecast'!H12+'Rolling Forecast'!H17+'Rolling Forecast'!H22+'Rolling Forecast'!H27+'Rolling Forecast'!H32+'Rolling Forecast'!H37+'Rolling Forecast'!H42+'Rolling Forecast'!H47+'Rolling Forecast'!H52+'Rolling Forecast'!H57+'Rolling Forecast'!H62)*1000/('Rolling Forecast'!D7+'Rolling Forecast'!D12+'Rolling Forecast'!D17+'Rolling Forecast'!D22+'Rolling Forecast'!D27+'Rolling Forecast'!D32+'Rolling Forecast'!D37+'Rolling Forecast'!D42+'Rolling Forecast'!D47+'Rolling Forecast'!D52+'Rolling Forecast'!D57+'Rolling Forecast'!D62))-(('Budget 2026'!J7+'Budget 2026'!J12+'Budget 2026'!J17+'Budget 2026'!J22+'Budget 2026'!J27+'Budget 2026'!J32+'Budget 2026'!J37+'Budget 2026'!J42+'Budget 2026'!J47+'Budget 2026'!J52+'Budget 2026'!J57+'Budget 2026'!J62)*1000/('Budget 2026'!D7+'Budget 2026'!D12+'Budget 2026'!D17+'Budget 2026'!D22+'Budget 2026'!D27+'Budget 2026'!D32+'Budget 2026'!D37+'Budget 2026'!D42+'Budget 2026'!D47+'Budget 2026'!D52+'Budget 2026'!D57+'Budget 2026'!D62)))/1000),2)</f>
        <v>-43.3</v>
      </c>
      <c r="I23" s="31">
        <f>ROUND(('Rolling Forecast'!I7+'Rolling Forecast'!I12+'Rolling Forecast'!I17+'Rolling Forecast'!I22+'Rolling Forecast'!I27+'Rolling Forecast'!I32+'Rolling Forecast'!I37+'Rolling Forecast'!I42+'Rolling Forecast'!I47+'Rolling Forecast'!I52+'Rolling Forecast'!I57+'Rolling Forecast'!I62)-('Budget 2026'!K7+'Budget 2026'!K12+'Budget 2026'!K17+'Budget 2026'!K22+'Budget 2026'!K27+'Budget 2026'!K32+'Budget 2026'!K37+'Budget 2026'!K42+'Budget 2026'!K47+'Budget 2026'!K52+'Budget 2026'!K57+'Budget 2026'!K62),2)</f>
        <v>-43.3</v>
      </c>
      <c r="J23" s="31">
        <f>ROUND(H23-I23,2)</f>
        <v>0</v>
      </c>
      <c r="K23" s="31">
        <f>ROUND(('Budget 2026'!K7+'Budget 2026'!K12+'Budget 2026'!K17+'Budget 2026'!K22+'Budget 2026'!K27+'Budget 2026'!K32+'Budget 2026'!K37+'Budget 2026'!K42+'Budget 2026'!K47+'Budget 2026'!K52+'Budget 2026'!K57+'Budget 2026'!K62),0)</f>
        <v>5315</v>
      </c>
      <c r="L23" s="31">
        <f>ROUND(('Rolling Forecast'!I7+'Rolling Forecast'!I12+'Rolling Forecast'!I17+'Rolling Forecast'!I22+'Rolling Forecast'!I27+'Rolling Forecast'!I32+'Rolling Forecast'!I37+'Rolling Forecast'!I42+'Rolling Forecast'!I47+'Rolling Forecast'!I52+'Rolling Forecast'!I57+'Rolling Forecast'!I62),0)</f>
        <v>5272</v>
      </c>
      <c r="M23" s="67">
        <f>K23/('Budget 2026'!I7+'Budget 2026'!I12+'Budget 2026'!I17+'Budget 2026'!I22+'Budget 2026'!I27+'Budget 2026'!I32+'Budget 2026'!I37+'Budget 2026'!I42+'Budget 2026'!I47+'Budget 2026'!I52+'Budget 2026'!I57+'Budget 2026'!I62)</f>
        <v>0.47578697702190181</v>
      </c>
      <c r="N23" s="67">
        <f>L23/('Rolling Forecast'!F7+'Rolling Forecast'!F12+'Rolling Forecast'!F17+'Rolling Forecast'!F22+'Rolling Forecast'!F27+'Rolling Forecast'!F32+'Rolling Forecast'!F37+'Rolling Forecast'!F42+'Rolling Forecast'!F47+'Rolling Forecast'!F52+'Rolling Forecast'!F57+'Rolling Forecast'!F62)</f>
        <v>0.47624509500918805</v>
      </c>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c r="A24" s="1" t="s">
        <v>71</v>
      </c>
      <c r="B24" s="66">
        <f>ROUND(('Budget 2026'!J8+'Budget 2026'!J13+'Budget 2026'!J18+'Budget 2026'!J23+'Budget 2026'!J28+'Budget 2026'!J33+'Budget 2026'!J38+'Budget 2026'!J43+'Budget 2026'!J48+'Budget 2026'!J53+'Budget 2026'!J58+'Budget 2026'!J63)*1000/('Budget 2026'!D8+'Budget 2026'!D13+'Budget 2026'!D18+'Budget 2026'!D23+'Budget 2026'!D28+'Budget 2026'!D33+'Budget 2026'!D38+'Budget 2026'!D43+'Budget 2026'!D48+'Budget 2026'!D53+'Budget 2026'!D58+'Budget 2026'!D63),2)</f>
        <v>11.77</v>
      </c>
      <c r="C24" s="66">
        <f>ROUND(('Rolling Forecast'!H8+'Rolling Forecast'!H13+'Rolling Forecast'!H18+'Rolling Forecast'!H23+'Rolling Forecast'!H28+'Rolling Forecast'!H33+'Rolling Forecast'!H38+'Rolling Forecast'!H43+'Rolling Forecast'!H48+'Rolling Forecast'!H53+'Rolling Forecast'!H58+'Rolling Forecast'!H63)*1000/('Rolling Forecast'!D8+'Rolling Forecast'!D13+'Rolling Forecast'!D18+'Rolling Forecast'!D23+'Rolling Forecast'!D28+'Rolling Forecast'!D33+'Rolling Forecast'!D38+'Rolling Forecast'!D43+'Rolling Forecast'!D48+'Rolling Forecast'!D53+'Rolling Forecast'!D58+'Rolling Forecast'!D63),2)</f>
        <v>11.75</v>
      </c>
      <c r="D24" s="31">
        <f>K11</f>
        <v>229.58</v>
      </c>
      <c r="E24" s="31">
        <f>ROUND((-(SUM('Rolling Forecast'!D4:D63)-SUM('Budget 2026'!D4:D63))*(('Budget 2026'!D8+'Budget 2026'!D13+'Budget 2026'!D18+'Budget 2026'!D23+'Budget 2026'!D28+'Budget 2026'!D33+'Budget 2026'!D38+'Budget 2026'!D43+'Budget 2026'!D48+'Budget 2026'!D53+'Budget 2026'!D58+'Budget 2026'!D63)/SUM('Budget 2026'!D4:D63))*(('Budget 2026'!J8+'Budget 2026'!J13+'Budget 2026'!J18+'Budget 2026'!J23+'Budget 2026'!J28+'Budget 2026'!J33+'Budget 2026'!J38+'Budget 2026'!J43+'Budget 2026'!J48+'Budget 2026'!J53+'Budget 2026'!J58+'Budget 2026'!J63)*1000/('Budget 2026'!D8+'Budget 2026'!D13+'Budget 2026'!D18+'Budget 2026'!D23+'Budget 2026'!D28+'Budget 2026'!D33+'Budget 2026'!D38+'Budget 2026'!D43+'Budget 2026'!D48+'Budget 2026'!D53+'Budget 2026'!D58+'Budget 2026'!D63))/1000),2)</f>
        <v>28.73</v>
      </c>
      <c r="F24" s="31">
        <f>ROUND((-SUM('Rolling Forecast'!D4:D63)*((('Rolling Forecast'!D8+'Rolling Forecast'!D13+'Rolling Forecast'!D18+'Rolling Forecast'!D23+'Rolling Forecast'!D28+'Rolling Forecast'!D33+'Rolling Forecast'!D38+'Rolling Forecast'!D43+'Rolling Forecast'!D48+'Rolling Forecast'!D53+'Rolling Forecast'!D58+'Rolling Forecast'!D63)/SUM('Rolling Forecast'!D4:D63))-(('Budget 2026'!D8+'Budget 2026'!D13+'Budget 2026'!D18+'Budget 2026'!D23+'Budget 2026'!D28+'Budget 2026'!D33+'Budget 2026'!D38+'Budget 2026'!D43+'Budget 2026'!D48+'Budget 2026'!D53+'Budget 2026'!D58+'Budget 2026'!D63)/SUM('Budget 2026'!D4:D63)))*(('Budget 2026'!J8+'Budget 2026'!J13+'Budget 2026'!J18+'Budget 2026'!J23+'Budget 2026'!J28+'Budget 2026'!J33+'Budget 2026'!J38+'Budget 2026'!J43+'Budget 2026'!J48+'Budget 2026'!J53+'Budget 2026'!J58+'Budget 2026'!J63)*1000/('Budget 2026'!D8+'Budget 2026'!D13+'Budget 2026'!D18+'Budget 2026'!D23+'Budget 2026'!D28+'Budget 2026'!D33+'Budget 2026'!D38+'Budget 2026'!D43+'Budget 2026'!D48+'Budget 2026'!D53+'Budget 2026'!D58+'Budget 2026'!D63))/1000),2)</f>
        <v>-170.51</v>
      </c>
      <c r="G24" s="31">
        <f>ROUND((-('Rolling Forecast'!D8+'Rolling Forecast'!D13+'Rolling Forecast'!D18+'Rolling Forecast'!D23+'Rolling Forecast'!D28+'Rolling Forecast'!D33+'Rolling Forecast'!D38+'Rolling Forecast'!D43+'Rolling Forecast'!D48+'Rolling Forecast'!D53+'Rolling Forecast'!D58+'Rolling Forecast'!D63)*((('Rolling Forecast'!H8+'Rolling Forecast'!H13+'Rolling Forecast'!H18+'Rolling Forecast'!H23+'Rolling Forecast'!H28+'Rolling Forecast'!H33+'Rolling Forecast'!H38+'Rolling Forecast'!H43+'Rolling Forecast'!H48+'Rolling Forecast'!H53+'Rolling Forecast'!H58+'Rolling Forecast'!H63)*1000/('Rolling Forecast'!D8+'Rolling Forecast'!D13+'Rolling Forecast'!D18+'Rolling Forecast'!D23+'Rolling Forecast'!D28+'Rolling Forecast'!D33+'Rolling Forecast'!D38+'Rolling Forecast'!D43+'Rolling Forecast'!D48+'Rolling Forecast'!D53+'Rolling Forecast'!D58+'Rolling Forecast'!D63))-(('Budget 2026'!J8+'Budget 2026'!J13+'Budget 2026'!J18+'Budget 2026'!J23+'Budget 2026'!J28+'Budget 2026'!J33+'Budget 2026'!J38+'Budget 2026'!J43+'Budget 2026'!J48+'Budget 2026'!J53+'Budget 2026'!J58+'Budget 2026'!J63)*1000/('Budget 2026'!D8+'Budget 2026'!D13+'Budget 2026'!D18+'Budget 2026'!D23+'Budget 2026'!D28+'Budget 2026'!D33+'Budget 2026'!D38+'Budget 2026'!D43+'Budget 2026'!D48+'Budget 2026'!D53+'Budget 2026'!D58+'Budget 2026'!D63)))/1000),2)</f>
        <v>13.51</v>
      </c>
      <c r="H24" s="31">
        <f>ROUND((('Rolling Forecast'!F8+'Rolling Forecast'!F13+'Rolling Forecast'!F18+'Rolling Forecast'!F23+'Rolling Forecast'!F28+'Rolling Forecast'!F33+'Rolling Forecast'!F38+'Rolling Forecast'!F43+'Rolling Forecast'!F48+'Rolling Forecast'!F53+'Rolling Forecast'!F58+'Rolling Forecast'!F63)-('Budget 2026'!I8+'Budget 2026'!I13+'Budget 2026'!I18+'Budget 2026'!I23+'Budget 2026'!I28+'Budget 2026'!I33+'Budget 2026'!I38+'Budget 2026'!I43+'Budget 2026'!I48+'Budget 2026'!I53+'Budget 2026'!I58+'Budget 2026'!I63))+(-(SUM('Rolling Forecast'!D4:D63)-SUM('Budget 2026'!D4:D63))*(('Budget 2026'!D8+'Budget 2026'!D13+'Budget 2026'!D18+'Budget 2026'!D23+'Budget 2026'!D28+'Budget 2026'!D33+'Budget 2026'!D38+'Budget 2026'!D43+'Budget 2026'!D48+'Budget 2026'!D53+'Budget 2026'!D58+'Budget 2026'!D63)/SUM('Budget 2026'!D4:D63))*(('Budget 2026'!J8+'Budget 2026'!J13+'Budget 2026'!J18+'Budget 2026'!J23+'Budget 2026'!J28+'Budget 2026'!J33+'Budget 2026'!J38+'Budget 2026'!J43+'Budget 2026'!J48+'Budget 2026'!J53+'Budget 2026'!J58+'Budget 2026'!J63)*1000/('Budget 2026'!D8+'Budget 2026'!D13+'Budget 2026'!D18+'Budget 2026'!D23+'Budget 2026'!D28+'Budget 2026'!D33+'Budget 2026'!D38+'Budget 2026'!D43+'Budget 2026'!D48+'Budget 2026'!D53+'Budget 2026'!D58+'Budget 2026'!D63))/1000)+(-SUM('Rolling Forecast'!D4:D63)*((('Rolling Forecast'!D8+'Rolling Forecast'!D13+'Rolling Forecast'!D18+'Rolling Forecast'!D23+'Rolling Forecast'!D28+'Rolling Forecast'!D33+'Rolling Forecast'!D38+'Rolling Forecast'!D43+'Rolling Forecast'!D48+'Rolling Forecast'!D53+'Rolling Forecast'!D58+'Rolling Forecast'!D63)/SUM('Rolling Forecast'!D4:D63))-(('Budget 2026'!D8+'Budget 2026'!D13+'Budget 2026'!D18+'Budget 2026'!D23+'Budget 2026'!D28+'Budget 2026'!D33+'Budget 2026'!D38+'Budget 2026'!D43+'Budget 2026'!D48+'Budget 2026'!D53+'Budget 2026'!D58+'Budget 2026'!D63)/SUM('Budget 2026'!D4:D63)))*(('Budget 2026'!J8+'Budget 2026'!J13+'Budget 2026'!J18+'Budget 2026'!J23+'Budget 2026'!J28+'Budget 2026'!J33+'Budget 2026'!J38+'Budget 2026'!J43+'Budget 2026'!J48+'Budget 2026'!J53+'Budget 2026'!J58+'Budget 2026'!J63)*1000/('Budget 2026'!D8+'Budget 2026'!D13+'Budget 2026'!D18+'Budget 2026'!D23+'Budget 2026'!D28+'Budget 2026'!D33+'Budget 2026'!D38+'Budget 2026'!D43+'Budget 2026'!D48+'Budget 2026'!D53+'Budget 2026'!D58+'Budget 2026'!D63))/1000)+(-('Rolling Forecast'!D8+'Rolling Forecast'!D13+'Rolling Forecast'!D18+'Rolling Forecast'!D23+'Rolling Forecast'!D28+'Rolling Forecast'!D33+'Rolling Forecast'!D38+'Rolling Forecast'!D43+'Rolling Forecast'!D48+'Rolling Forecast'!D53+'Rolling Forecast'!D58+'Rolling Forecast'!D63)*((('Rolling Forecast'!H8+'Rolling Forecast'!H13+'Rolling Forecast'!H18+'Rolling Forecast'!H23+'Rolling Forecast'!H28+'Rolling Forecast'!H33+'Rolling Forecast'!H38+'Rolling Forecast'!H43+'Rolling Forecast'!H48+'Rolling Forecast'!H53+'Rolling Forecast'!H58+'Rolling Forecast'!H63)*1000/('Rolling Forecast'!D8+'Rolling Forecast'!D13+'Rolling Forecast'!D18+'Rolling Forecast'!D23+'Rolling Forecast'!D28+'Rolling Forecast'!D33+'Rolling Forecast'!D38+'Rolling Forecast'!D43+'Rolling Forecast'!D48+'Rolling Forecast'!D53+'Rolling Forecast'!D58+'Rolling Forecast'!D63))-(('Budget 2026'!J8+'Budget 2026'!J13+'Budget 2026'!J18+'Budget 2026'!J23+'Budget 2026'!J28+'Budget 2026'!J33+'Budget 2026'!J38+'Budget 2026'!J43+'Budget 2026'!J48+'Budget 2026'!J53+'Budget 2026'!J58+'Budget 2026'!J63)*1000/('Budget 2026'!D8+'Budget 2026'!D13+'Budget 2026'!D18+'Budget 2026'!D23+'Budget 2026'!D28+'Budget 2026'!D33+'Budget 2026'!D38+'Budget 2026'!D43+'Budget 2026'!D48+'Budget 2026'!D53+'Budget 2026'!D58+'Budget 2026'!D63)))/1000),2)</f>
        <v>101.3</v>
      </c>
      <c r="I24" s="31">
        <f>ROUND(('Rolling Forecast'!I8+'Rolling Forecast'!I13+'Rolling Forecast'!I18+'Rolling Forecast'!I23+'Rolling Forecast'!I28+'Rolling Forecast'!I33+'Rolling Forecast'!I38+'Rolling Forecast'!I43+'Rolling Forecast'!I48+'Rolling Forecast'!I53+'Rolling Forecast'!I58+'Rolling Forecast'!I63)-('Budget 2026'!K8+'Budget 2026'!K13+'Budget 2026'!K18+'Budget 2026'!K23+'Budget 2026'!K28+'Budget 2026'!K33+'Budget 2026'!K38+'Budget 2026'!K43+'Budget 2026'!K48+'Budget 2026'!K53+'Budget 2026'!K58+'Budget 2026'!K63),2)</f>
        <v>101.3</v>
      </c>
      <c r="J24" s="31">
        <f>ROUND(H24-I24,2)</f>
        <v>0</v>
      </c>
      <c r="K24" s="31">
        <f>ROUND(('Budget 2026'!K8+'Budget 2026'!K13+'Budget 2026'!K18+'Budget 2026'!K23+'Budget 2026'!K28+'Budget 2026'!K33+'Budget 2026'!K38+'Budget 2026'!K43+'Budget 2026'!K48+'Budget 2026'!K53+'Budget 2026'!K58+'Budget 2026'!K63),0)</f>
        <v>5741</v>
      </c>
      <c r="L24" s="31">
        <f>ROUND(('Rolling Forecast'!I8+'Rolling Forecast'!I13+'Rolling Forecast'!I18+'Rolling Forecast'!I23+'Rolling Forecast'!I28+'Rolling Forecast'!I33+'Rolling Forecast'!I38+'Rolling Forecast'!I43+'Rolling Forecast'!I48+'Rolling Forecast'!I53+'Rolling Forecast'!I58+'Rolling Forecast'!I63),0)</f>
        <v>5843</v>
      </c>
      <c r="M24" s="67">
        <f>K24/('Budget 2026'!I8+'Budget 2026'!I13+'Budget 2026'!I18+'Budget 2026'!I23+'Budget 2026'!I28+'Budget 2026'!I33+'Budget 2026'!I38+'Budget 2026'!I43+'Budget 2026'!I48+'Budget 2026'!I53+'Budget 2026'!I58+'Budget 2026'!I63)</f>
        <v>0.42659786043028164</v>
      </c>
      <c r="N24" s="67">
        <f>L24/('Rolling Forecast'!F8+'Rolling Forecast'!F13+'Rolling Forecast'!F18+'Rolling Forecast'!F23+'Rolling Forecast'!F28+'Rolling Forecast'!F33+'Rolling Forecast'!F38+'Rolling Forecast'!F43+'Rolling Forecast'!F48+'Rolling Forecast'!F53+'Rolling Forecast'!F58+'Rolling Forecast'!F63)</f>
        <v>0.42689480265548002</v>
      </c>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c r="A25" s="61" t="s">
        <v>490</v>
      </c>
      <c r="B25" s="64">
        <f>ROUND(SUM('Budget 2026'!J4:J63)*1000/SUM('Budget 2026'!D4:D63),2)</f>
        <v>6.82</v>
      </c>
      <c r="C25" s="64">
        <f>ROUND(SUM('Rolling Forecast'!H4:H63)*1000/SUM('Rolling Forecast'!D4:D63),2)</f>
        <v>6.83</v>
      </c>
      <c r="D25" s="65">
        <f t="shared" ref="D25:J25" si="1">ROUND(SUM(D20:D24),2)</f>
        <v>-299</v>
      </c>
      <c r="E25" s="65">
        <f t="shared" si="1"/>
        <v>137.54</v>
      </c>
      <c r="F25" s="65">
        <f t="shared" si="1"/>
        <v>-76.12</v>
      </c>
      <c r="G25" s="65">
        <f t="shared" si="1"/>
        <v>35.69</v>
      </c>
      <c r="H25" s="65">
        <f t="shared" si="1"/>
        <v>-201.92</v>
      </c>
      <c r="I25" s="65">
        <f t="shared" si="1"/>
        <v>-201.92</v>
      </c>
      <c r="J25" s="65">
        <f t="shared" si="1"/>
        <v>0</v>
      </c>
      <c r="K25" s="65">
        <f>ROUND(SUM(K20:K24),0)</f>
        <v>31711</v>
      </c>
      <c r="L25" s="65">
        <f>ROUND(SUM(L20:L24),0)</f>
        <v>31510</v>
      </c>
      <c r="M25" s="63">
        <f>K25/SUM('Budget 2026'!I4:I63)</f>
        <v>0.4619034833606192</v>
      </c>
      <c r="N25" s="63">
        <f>L25/SUM('Rolling Forecast'!F4:F63)</f>
        <v>0.4609835268128184</v>
      </c>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ht="26.75" customHeight="1">
      <c r="A28" s="87" t="s">
        <v>507</v>
      </c>
      <c r="B28" s="87"/>
      <c r="C28" s="87"/>
      <c r="D28" s="87"/>
      <c r="E28" s="87"/>
      <c r="F28" s="87"/>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ht="16">
      <c r="A29" s="58" t="s">
        <v>508</v>
      </c>
      <c r="B29" s="58" t="s">
        <v>417</v>
      </c>
      <c r="C29" s="1"/>
      <c r="D29" s="58" t="s">
        <v>509</v>
      </c>
      <c r="E29" s="58" t="s">
        <v>510</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c r="A30" s="1" t="s">
        <v>112</v>
      </c>
      <c r="B30" s="15">
        <f>ROUND(SUM('Budget 2026'!I4:I63),0)</f>
        <v>68653</v>
      </c>
      <c r="C30" s="1"/>
      <c r="D30" s="1" t="s">
        <v>49</v>
      </c>
      <c r="E30" s="31">
        <f>ROUND(H12,0)</f>
        <v>-256</v>
      </c>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c r="A31" s="1" t="s">
        <v>49</v>
      </c>
      <c r="B31" s="15">
        <f>ROUND(H12,0)</f>
        <v>-256</v>
      </c>
      <c r="C31" s="1"/>
      <c r="D31" s="1" t="s">
        <v>511</v>
      </c>
      <c r="E31" s="31">
        <f>ROUND(I12,0)</f>
        <v>109</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c r="A32" s="1" t="s">
        <v>511</v>
      </c>
      <c r="B32" s="15">
        <f>ROUND(I12,0)</f>
        <v>109</v>
      </c>
      <c r="C32" s="1"/>
      <c r="D32" s="1" t="s">
        <v>512</v>
      </c>
      <c r="E32" s="31">
        <f>ROUND(J12,0)</f>
        <v>-152</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c r="A33" s="1" t="s">
        <v>512</v>
      </c>
      <c r="B33" s="15">
        <f>ROUND(J12,0)</f>
        <v>-152</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c r="A34" s="1" t="s">
        <v>113</v>
      </c>
      <c r="B34" s="15">
        <f>ROUND(SUM('Rolling Forecast'!F4:F63),0)</f>
        <v>68354</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sheetData>
  <mergeCells count="5">
    <mergeCell ref="A1:N1"/>
    <mergeCell ref="A3:N3"/>
    <mergeCell ref="A5:N5"/>
    <mergeCell ref="A18:N18"/>
    <mergeCell ref="A28:F28"/>
  </mergeCells>
  <conditionalFormatting sqref="B31:B33">
    <cfRule type="expression" dxfId="21" priority="3">
      <formula>B31&lt;0</formula>
    </cfRule>
    <cfRule type="expression" dxfId="20" priority="4">
      <formula>B31&gt;0</formula>
    </cfRule>
  </conditionalFormatting>
  <conditionalFormatting sqref="J20:J25">
    <cfRule type="expression" dxfId="19" priority="2">
      <formula>ABS(J20)&gt;0.5</formula>
    </cfRule>
  </conditionalFormatting>
  <conditionalFormatting sqref="M7:M12">
    <cfRule type="expression" dxfId="18" priority="1">
      <formula>ABS(M7)&gt;0.5</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Z200"/>
  <sheetViews>
    <sheetView topLeftCell="A3" workbookViewId="0">
      <selection sqref="A1:M1"/>
    </sheetView>
  </sheetViews>
  <sheetFormatPr baseColWidth="10" defaultColWidth="8.83203125" defaultRowHeight="15"/>
  <cols>
    <col min="1" max="1" width="25" bestFit="1" customWidth="1"/>
    <col min="2" max="2" width="14" customWidth="1"/>
    <col min="3" max="4" width="21" customWidth="1"/>
    <col min="5" max="5" width="18" customWidth="1"/>
    <col min="6" max="6" width="17.83203125" bestFit="1" customWidth="1"/>
    <col min="7" max="7" width="14" customWidth="1"/>
    <col min="8" max="9" width="18" customWidth="1"/>
    <col min="10" max="10" width="19" customWidth="1"/>
    <col min="11" max="11" width="14" customWidth="1"/>
    <col min="12" max="12" width="40" customWidth="1"/>
    <col min="13" max="13" width="28" customWidth="1"/>
  </cols>
  <sheetData>
    <row r="1" spans="1:52" ht="37.25" customHeight="1">
      <c r="A1" s="113" t="s">
        <v>513</v>
      </c>
      <c r="B1" s="113"/>
      <c r="C1" s="113"/>
      <c r="D1" s="113"/>
      <c r="E1" s="113"/>
      <c r="F1" s="113"/>
      <c r="G1" s="113"/>
      <c r="H1" s="113"/>
      <c r="I1" s="113"/>
      <c r="J1" s="113"/>
      <c r="K1" s="113"/>
      <c r="L1" s="113"/>
      <c r="M1" s="113"/>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114" t="s">
        <v>514</v>
      </c>
      <c r="B3" s="114"/>
      <c r="C3" s="114"/>
      <c r="D3" s="114"/>
      <c r="E3" s="114"/>
      <c r="F3" s="114"/>
      <c r="G3" s="114"/>
      <c r="H3" s="114"/>
      <c r="I3" s="114"/>
      <c r="J3" s="114"/>
      <c r="K3" s="114"/>
      <c r="L3" s="114"/>
      <c r="M3" s="114"/>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26.75" customHeight="1">
      <c r="A5" s="87" t="s">
        <v>515</v>
      </c>
      <c r="B5" s="87"/>
      <c r="C5" s="87"/>
      <c r="D5" s="87"/>
      <c r="E5" s="87"/>
      <c r="F5" s="87"/>
      <c r="G5" s="87"/>
      <c r="H5" s="87"/>
      <c r="I5" s="87"/>
      <c r="J5" s="87"/>
      <c r="K5" s="87"/>
      <c r="L5" s="87"/>
      <c r="M5" s="87"/>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ht="32">
      <c r="A6" s="58" t="s">
        <v>516</v>
      </c>
      <c r="B6" s="58" t="s">
        <v>354</v>
      </c>
      <c r="C6" s="58" t="s">
        <v>60</v>
      </c>
      <c r="D6" s="58" t="s">
        <v>517</v>
      </c>
      <c r="E6" s="58" t="s">
        <v>518</v>
      </c>
      <c r="F6" s="58" t="s">
        <v>519</v>
      </c>
      <c r="G6" s="58" t="s">
        <v>520</v>
      </c>
      <c r="H6" s="58" t="s">
        <v>521</v>
      </c>
      <c r="I6" s="58" t="s">
        <v>522</v>
      </c>
      <c r="J6" s="58" t="s">
        <v>523</v>
      </c>
      <c r="K6" s="58" t="s">
        <v>97</v>
      </c>
      <c r="L6" s="58" t="s">
        <v>524</v>
      </c>
      <c r="M6" s="58" t="s">
        <v>107</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ht="32">
      <c r="A7" s="8" t="s">
        <v>525</v>
      </c>
      <c r="B7" s="8" t="s">
        <v>526</v>
      </c>
      <c r="C7" s="8" t="s">
        <v>69</v>
      </c>
      <c r="D7" s="8" t="s">
        <v>527</v>
      </c>
      <c r="E7" s="8" t="s">
        <v>528</v>
      </c>
      <c r="F7" s="8" t="s">
        <v>143</v>
      </c>
      <c r="G7" s="11">
        <v>0.65</v>
      </c>
      <c r="H7" s="17">
        <v>220</v>
      </c>
      <c r="I7" s="17">
        <v>95</v>
      </c>
      <c r="J7" s="15">
        <f t="shared" ref="J7:J18" si="0">I7*G7</f>
        <v>61.75</v>
      </c>
      <c r="K7" s="8" t="s">
        <v>529</v>
      </c>
      <c r="L7" s="44" t="s">
        <v>530</v>
      </c>
      <c r="M7" s="44" t="s">
        <v>286</v>
      </c>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ht="32">
      <c r="A8" s="8" t="s">
        <v>531</v>
      </c>
      <c r="B8" s="8" t="s">
        <v>526</v>
      </c>
      <c r="C8" s="8" t="s">
        <v>71</v>
      </c>
      <c r="D8" s="8" t="s">
        <v>532</v>
      </c>
      <c r="E8" s="8" t="s">
        <v>533</v>
      </c>
      <c r="F8" s="8" t="s">
        <v>144</v>
      </c>
      <c r="G8" s="11">
        <v>0.55000000000000004</v>
      </c>
      <c r="H8" s="17">
        <v>160</v>
      </c>
      <c r="I8" s="17">
        <v>70</v>
      </c>
      <c r="J8" s="15">
        <f t="shared" si="0"/>
        <v>38.5</v>
      </c>
      <c r="K8" s="8" t="s">
        <v>529</v>
      </c>
      <c r="L8" s="44" t="s">
        <v>534</v>
      </c>
      <c r="M8" s="44" t="s">
        <v>286</v>
      </c>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ht="32">
      <c r="A9" s="8" t="s">
        <v>535</v>
      </c>
      <c r="B9" s="8" t="s">
        <v>526</v>
      </c>
      <c r="C9" s="8" t="s">
        <v>68</v>
      </c>
      <c r="D9" s="8" t="s">
        <v>536</v>
      </c>
      <c r="E9" s="8" t="s">
        <v>537</v>
      </c>
      <c r="F9" s="8" t="s">
        <v>144</v>
      </c>
      <c r="G9" s="11">
        <v>0.7</v>
      </c>
      <c r="H9" s="17">
        <v>0</v>
      </c>
      <c r="I9" s="17">
        <v>85</v>
      </c>
      <c r="J9" s="15">
        <f t="shared" si="0"/>
        <v>59.499999999999993</v>
      </c>
      <c r="K9" s="8" t="s">
        <v>538</v>
      </c>
      <c r="L9" s="44" t="s">
        <v>539</v>
      </c>
      <c r="M9" s="44" t="s">
        <v>286</v>
      </c>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ht="32">
      <c r="A10" s="8" t="s">
        <v>540</v>
      </c>
      <c r="B10" s="8" t="s">
        <v>526</v>
      </c>
      <c r="C10" s="8" t="s">
        <v>67</v>
      </c>
      <c r="D10" s="8" t="s">
        <v>541</v>
      </c>
      <c r="E10" s="8" t="s">
        <v>511</v>
      </c>
      <c r="F10" s="8" t="s">
        <v>145</v>
      </c>
      <c r="G10" s="11">
        <v>0.45</v>
      </c>
      <c r="H10" s="17">
        <v>180</v>
      </c>
      <c r="I10" s="17">
        <v>65</v>
      </c>
      <c r="J10" s="15">
        <f t="shared" si="0"/>
        <v>29.25</v>
      </c>
      <c r="K10" s="8" t="s">
        <v>529</v>
      </c>
      <c r="L10" s="44" t="s">
        <v>542</v>
      </c>
      <c r="M10" s="44" t="s">
        <v>286</v>
      </c>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ht="32">
      <c r="A11" s="8" t="s">
        <v>543</v>
      </c>
      <c r="B11" s="8" t="s">
        <v>526</v>
      </c>
      <c r="C11" s="8" t="s">
        <v>70</v>
      </c>
      <c r="D11" s="8" t="s">
        <v>544</v>
      </c>
      <c r="E11" s="8" t="s">
        <v>245</v>
      </c>
      <c r="F11" s="8" t="s">
        <v>145</v>
      </c>
      <c r="G11" s="11">
        <v>0.6</v>
      </c>
      <c r="H11" s="17">
        <v>0</v>
      </c>
      <c r="I11" s="17">
        <v>35</v>
      </c>
      <c r="J11" s="15">
        <f t="shared" si="0"/>
        <v>21</v>
      </c>
      <c r="K11" s="8" t="s">
        <v>538</v>
      </c>
      <c r="L11" s="44" t="s">
        <v>545</v>
      </c>
      <c r="M11" s="44" t="s">
        <v>286</v>
      </c>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ht="32">
      <c r="A12" s="8" t="s">
        <v>546</v>
      </c>
      <c r="B12" s="8" t="s">
        <v>547</v>
      </c>
      <c r="C12" s="8" t="s">
        <v>68</v>
      </c>
      <c r="D12" s="8" t="s">
        <v>548</v>
      </c>
      <c r="E12" s="8" t="s">
        <v>549</v>
      </c>
      <c r="F12" s="8" t="s">
        <v>143</v>
      </c>
      <c r="G12" s="11">
        <v>0.7</v>
      </c>
      <c r="H12" s="17">
        <v>-60</v>
      </c>
      <c r="I12" s="17">
        <v>-110</v>
      </c>
      <c r="J12" s="15">
        <f t="shared" si="0"/>
        <v>-77</v>
      </c>
      <c r="K12" s="8" t="s">
        <v>529</v>
      </c>
      <c r="L12" s="44" t="s">
        <v>550</v>
      </c>
      <c r="M12" s="44" t="s">
        <v>286</v>
      </c>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ht="32">
      <c r="A13" s="8" t="s">
        <v>551</v>
      </c>
      <c r="B13" s="8" t="s">
        <v>547</v>
      </c>
      <c r="C13" s="8" t="s">
        <v>70</v>
      </c>
      <c r="D13" s="8" t="s">
        <v>527</v>
      </c>
      <c r="E13" s="8" t="s">
        <v>528</v>
      </c>
      <c r="F13" s="8" t="s">
        <v>144</v>
      </c>
      <c r="G13" s="11">
        <v>0.5</v>
      </c>
      <c r="H13" s="17">
        <v>-190</v>
      </c>
      <c r="I13" s="17">
        <v>-80</v>
      </c>
      <c r="J13" s="15">
        <f t="shared" si="0"/>
        <v>-40</v>
      </c>
      <c r="K13" s="8" t="s">
        <v>529</v>
      </c>
      <c r="L13" s="44" t="s">
        <v>552</v>
      </c>
      <c r="M13" s="44" t="s">
        <v>286</v>
      </c>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ht="32">
      <c r="A14" s="8" t="s">
        <v>553</v>
      </c>
      <c r="B14" s="8" t="s">
        <v>547</v>
      </c>
      <c r="C14" s="8" t="s">
        <v>69</v>
      </c>
      <c r="D14" s="8" t="s">
        <v>536</v>
      </c>
      <c r="E14" s="8" t="s">
        <v>554</v>
      </c>
      <c r="F14" s="8" t="s">
        <v>143</v>
      </c>
      <c r="G14" s="11">
        <v>0.35</v>
      </c>
      <c r="H14" s="17">
        <v>-130</v>
      </c>
      <c r="I14" s="17">
        <v>-65</v>
      </c>
      <c r="J14" s="15">
        <f t="shared" si="0"/>
        <v>-22.75</v>
      </c>
      <c r="K14" s="8" t="s">
        <v>555</v>
      </c>
      <c r="L14" s="44" t="s">
        <v>556</v>
      </c>
      <c r="M14" s="44" t="s">
        <v>286</v>
      </c>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ht="32">
      <c r="A15" s="8" t="s">
        <v>557</v>
      </c>
      <c r="B15" s="8" t="s">
        <v>547</v>
      </c>
      <c r="C15" s="8" t="s">
        <v>67</v>
      </c>
      <c r="D15" s="8" t="s">
        <v>541</v>
      </c>
      <c r="E15" s="8" t="s">
        <v>558</v>
      </c>
      <c r="F15" s="8" t="s">
        <v>145</v>
      </c>
      <c r="G15" s="11">
        <v>0.3</v>
      </c>
      <c r="H15" s="17">
        <v>-210</v>
      </c>
      <c r="I15" s="17">
        <v>-75</v>
      </c>
      <c r="J15" s="15">
        <f t="shared" si="0"/>
        <v>-22.5</v>
      </c>
      <c r="K15" s="8" t="s">
        <v>555</v>
      </c>
      <c r="L15" s="44" t="s">
        <v>559</v>
      </c>
      <c r="M15" s="44" t="s">
        <v>286</v>
      </c>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ht="32">
      <c r="A16" s="8" t="s">
        <v>560</v>
      </c>
      <c r="B16" s="8" t="s">
        <v>547</v>
      </c>
      <c r="C16" s="8" t="s">
        <v>71</v>
      </c>
      <c r="D16" s="8" t="s">
        <v>561</v>
      </c>
      <c r="E16" s="8" t="s">
        <v>562</v>
      </c>
      <c r="F16" s="8" t="s">
        <v>144</v>
      </c>
      <c r="G16" s="11">
        <v>0.4</v>
      </c>
      <c r="H16" s="17">
        <v>0</v>
      </c>
      <c r="I16" s="17">
        <v>-55</v>
      </c>
      <c r="J16" s="15">
        <f t="shared" si="0"/>
        <v>-22</v>
      </c>
      <c r="K16" s="8" t="s">
        <v>529</v>
      </c>
      <c r="L16" s="44" t="s">
        <v>563</v>
      </c>
      <c r="M16" s="44" t="s">
        <v>286</v>
      </c>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ht="32">
      <c r="A17" s="8" t="s">
        <v>564</v>
      </c>
      <c r="B17" s="8" t="s">
        <v>547</v>
      </c>
      <c r="C17" s="8" t="s">
        <v>565</v>
      </c>
      <c r="D17" s="8" t="s">
        <v>566</v>
      </c>
      <c r="E17" s="8" t="s">
        <v>567</v>
      </c>
      <c r="F17" s="8" t="s">
        <v>145</v>
      </c>
      <c r="G17" s="11">
        <v>0.45</v>
      </c>
      <c r="H17" s="17">
        <v>0</v>
      </c>
      <c r="I17" s="17">
        <v>-90</v>
      </c>
      <c r="J17" s="15">
        <f t="shared" si="0"/>
        <v>-40.5</v>
      </c>
      <c r="K17" s="8" t="s">
        <v>555</v>
      </c>
      <c r="L17" s="44" t="s">
        <v>568</v>
      </c>
      <c r="M17" s="44" t="s">
        <v>286</v>
      </c>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ht="32">
      <c r="A18" s="8" t="s">
        <v>569</v>
      </c>
      <c r="B18" s="8" t="s">
        <v>526</v>
      </c>
      <c r="C18" s="8" t="s">
        <v>565</v>
      </c>
      <c r="D18" s="8" t="s">
        <v>566</v>
      </c>
      <c r="E18" s="8" t="s">
        <v>570</v>
      </c>
      <c r="F18" s="8" t="s">
        <v>145</v>
      </c>
      <c r="G18" s="11">
        <v>0.6</v>
      </c>
      <c r="H18" s="17">
        <v>0</v>
      </c>
      <c r="I18" s="17">
        <v>50</v>
      </c>
      <c r="J18" s="15">
        <f t="shared" si="0"/>
        <v>30</v>
      </c>
      <c r="K18" s="8" t="s">
        <v>538</v>
      </c>
      <c r="L18" s="44" t="s">
        <v>571</v>
      </c>
      <c r="M18" s="44" t="s">
        <v>286</v>
      </c>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ht="26.75" customHeight="1">
      <c r="A21" s="87" t="s">
        <v>572</v>
      </c>
      <c r="B21" s="87"/>
      <c r="C21" s="87"/>
      <c r="D21" s="87"/>
      <c r="E21" s="87"/>
      <c r="F21" s="87" t="s">
        <v>573</v>
      </c>
      <c r="G21" s="87"/>
      <c r="H21" s="57"/>
      <c r="I21" s="57"/>
      <c r="J21" s="57"/>
      <c r="K21" s="57"/>
      <c r="L21" s="57"/>
      <c r="M21" s="57"/>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ht="16">
      <c r="A22" s="58" t="s">
        <v>57</v>
      </c>
      <c r="B22" s="58" t="s">
        <v>417</v>
      </c>
      <c r="C22" s="58" t="s">
        <v>574</v>
      </c>
      <c r="D22" s="58" t="s">
        <v>575</v>
      </c>
      <c r="E22" s="1"/>
      <c r="F22" s="58" t="s">
        <v>60</v>
      </c>
      <c r="G22" s="58" t="s">
        <v>526</v>
      </c>
      <c r="H22" s="58" t="s">
        <v>547</v>
      </c>
      <c r="I22" s="58" t="s">
        <v>576</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c r="A23" s="1" t="s">
        <v>119</v>
      </c>
      <c r="B23" s="15">
        <f>SUM('Budget 2026'!P4:P63)</f>
        <v>11998.243131047706</v>
      </c>
      <c r="C23" s="15">
        <f>0</f>
        <v>0</v>
      </c>
      <c r="D23" s="1" t="s">
        <v>577</v>
      </c>
      <c r="E23" s="1"/>
      <c r="F23" s="1" t="s">
        <v>67</v>
      </c>
      <c r="G23" s="31">
        <f t="shared" ref="G23:G28" si="1">SUMIFS($J$7:$J$18,$C$7:$C$18,F23,$B$7:$B$18,"Opportunity")</f>
        <v>29.25</v>
      </c>
      <c r="H23" s="31">
        <f t="shared" ref="H23:H28" si="2">SUMIFS($J$7:$J$18,$C$7:$C$18,F23,$B$7:$B$18,"Risk")</f>
        <v>-22.5</v>
      </c>
      <c r="I23" s="31">
        <f t="shared" ref="I23:I28" si="3">G23+H23</f>
        <v>6.75</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c r="A24" s="1" t="s">
        <v>578</v>
      </c>
      <c r="B24" s="15">
        <f>SUM('Rolling Forecast'!N4:N63)</f>
        <v>14816.334948031874</v>
      </c>
      <c r="C24" s="15">
        <f>B24-B23</f>
        <v>2818.091816984168</v>
      </c>
      <c r="D24" s="1" t="s">
        <v>579</v>
      </c>
      <c r="E24" s="1"/>
      <c r="F24" s="1" t="s">
        <v>68</v>
      </c>
      <c r="G24" s="31">
        <f t="shared" si="1"/>
        <v>59.499999999999993</v>
      </c>
      <c r="H24" s="31">
        <f t="shared" si="2"/>
        <v>-77</v>
      </c>
      <c r="I24" s="31">
        <f t="shared" si="3"/>
        <v>-17.500000000000007</v>
      </c>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c r="A25" s="1" t="s">
        <v>580</v>
      </c>
      <c r="B25" s="15">
        <f>SUMIF(B7:B18,"Opportunity",J7:J18)</f>
        <v>240</v>
      </c>
      <c r="C25" s="15">
        <f>B25</f>
        <v>240</v>
      </c>
      <c r="D25" s="1" t="s">
        <v>581</v>
      </c>
      <c r="E25" s="1"/>
      <c r="F25" s="1" t="s">
        <v>69</v>
      </c>
      <c r="G25" s="31">
        <f t="shared" si="1"/>
        <v>61.75</v>
      </c>
      <c r="H25" s="31">
        <f t="shared" si="2"/>
        <v>-22.75</v>
      </c>
      <c r="I25" s="31">
        <f t="shared" si="3"/>
        <v>39</v>
      </c>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c r="A26" s="1" t="s">
        <v>582</v>
      </c>
      <c r="B26" s="15">
        <f>SUMIF(B7:B18,"Risk",J7:J18)</f>
        <v>-224.75</v>
      </c>
      <c r="C26" s="15">
        <f>B26</f>
        <v>-224.75</v>
      </c>
      <c r="D26" s="1" t="s">
        <v>583</v>
      </c>
      <c r="E26" s="1"/>
      <c r="F26" s="1" t="s">
        <v>70</v>
      </c>
      <c r="G26" s="31">
        <f t="shared" si="1"/>
        <v>21</v>
      </c>
      <c r="H26" s="31">
        <f t="shared" si="2"/>
        <v>-40</v>
      </c>
      <c r="I26" s="31">
        <f t="shared" si="3"/>
        <v>-19</v>
      </c>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c r="A27" s="1" t="s">
        <v>165</v>
      </c>
      <c r="B27" s="15">
        <f>B24+B25+B26</f>
        <v>14831.584948031874</v>
      </c>
      <c r="C27" s="15">
        <f>B27-B23</f>
        <v>2833.341816984168</v>
      </c>
      <c r="D27" s="1" t="s">
        <v>584</v>
      </c>
      <c r="E27" s="1"/>
      <c r="F27" s="1" t="s">
        <v>71</v>
      </c>
      <c r="G27" s="31">
        <f t="shared" si="1"/>
        <v>38.5</v>
      </c>
      <c r="H27" s="31">
        <f t="shared" si="2"/>
        <v>-22</v>
      </c>
      <c r="I27" s="31">
        <f t="shared" si="3"/>
        <v>16.5</v>
      </c>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c r="A28" s="1" t="s">
        <v>585</v>
      </c>
      <c r="B28" s="16">
        <f>B27/SUM('Rolling Forecast'!F4:F63)</f>
        <v>0.21698242899294337</v>
      </c>
      <c r="C28" s="68">
        <f>0</f>
        <v>0</v>
      </c>
      <c r="D28" s="1" t="s">
        <v>586</v>
      </c>
      <c r="E28" s="1"/>
      <c r="F28" s="1" t="s">
        <v>565</v>
      </c>
      <c r="G28" s="31">
        <f t="shared" si="1"/>
        <v>30</v>
      </c>
      <c r="H28" s="31">
        <f t="shared" si="2"/>
        <v>-40.5</v>
      </c>
      <c r="I28" s="31">
        <f t="shared" si="3"/>
        <v>-10.5</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c r="A29" s="1"/>
      <c r="B29" s="1"/>
      <c r="C29" s="1"/>
      <c r="D29" s="1"/>
      <c r="E29" s="1"/>
      <c r="F29" s="1" t="s">
        <v>490</v>
      </c>
      <c r="G29" s="31">
        <f>SUM(G23:G28)</f>
        <v>240</v>
      </c>
      <c r="H29" s="31">
        <f>SUM(H23:H28)</f>
        <v>-224.75</v>
      </c>
      <c r="I29" s="31">
        <f>SUM(I23:I28)</f>
        <v>15.249999999999993</v>
      </c>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sheetData>
  <mergeCells count="4">
    <mergeCell ref="A1:M1"/>
    <mergeCell ref="A3:M3"/>
    <mergeCell ref="A5:M5"/>
    <mergeCell ref="A21:G21"/>
  </mergeCells>
  <conditionalFormatting sqref="B7:B18">
    <cfRule type="expression" dxfId="17" priority="1">
      <formula>B7="Opportunity"</formula>
    </cfRule>
    <cfRule type="expression" dxfId="16" priority="2">
      <formula>B7="Risk"</formula>
    </cfRule>
  </conditionalFormatting>
  <conditionalFormatting sqref="C24:C27">
    <cfRule type="expression" dxfId="15" priority="3">
      <formula>C24&lt;0</formula>
    </cfRule>
    <cfRule type="expression" dxfId="14" priority="4">
      <formula>C24&gt;0</formula>
    </cfRule>
  </conditionalFormatting>
  <conditionalFormatting sqref="I23:I29">
    <cfRule type="expression" dxfId="13" priority="5">
      <formula>I23&lt;0</formula>
    </cfRule>
    <cfRule type="expression" dxfId="12" priority="6">
      <formula>I23&gt;0</formula>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Z200"/>
  <sheetViews>
    <sheetView topLeftCell="A30" workbookViewId="0">
      <selection sqref="A1:L1"/>
    </sheetView>
  </sheetViews>
  <sheetFormatPr baseColWidth="10" defaultColWidth="8.83203125" defaultRowHeight="15"/>
  <cols>
    <col min="1" max="1" width="10" customWidth="1"/>
    <col min="2" max="2" width="22" customWidth="1"/>
    <col min="3" max="3" width="30" customWidth="1"/>
    <col min="4" max="4" width="22" customWidth="1"/>
    <col min="5" max="5" width="55.83203125" customWidth="1"/>
    <col min="6" max="6" width="16" customWidth="1"/>
  </cols>
  <sheetData>
    <row r="1" spans="1:52" ht="37.25" customHeight="1">
      <c r="A1" s="113" t="s">
        <v>587</v>
      </c>
      <c r="B1" s="113"/>
      <c r="C1" s="113"/>
      <c r="D1" s="113"/>
      <c r="E1" s="113"/>
      <c r="F1" s="113"/>
      <c r="G1" s="113"/>
      <c r="H1" s="113"/>
      <c r="I1" s="113"/>
      <c r="J1" s="113"/>
      <c r="K1" s="113"/>
      <c r="L1" s="113"/>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115" t="str">
        <f>"Scenario: "&amp;Assumptions!B6&amp;" | Commentary refreshes from model outputs"</f>
        <v>Scenario: Base | Commentary refreshes from model outputs</v>
      </c>
      <c r="B3" s="115"/>
      <c r="C3" s="115"/>
      <c r="D3" s="115"/>
      <c r="E3" s="115"/>
      <c r="F3" s="115"/>
      <c r="G3" s="115"/>
      <c r="H3" s="115"/>
      <c r="I3" s="115"/>
      <c r="J3" s="115"/>
      <c r="K3" s="115"/>
      <c r="L3" s="115"/>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26.75" customHeight="1">
      <c r="A5" s="87" t="s">
        <v>588</v>
      </c>
      <c r="B5" s="87"/>
      <c r="C5" s="87"/>
      <c r="D5" s="87"/>
      <c r="E5" s="87"/>
      <c r="F5" s="87"/>
      <c r="G5" s="87"/>
      <c r="H5" s="87"/>
      <c r="I5" s="87"/>
      <c r="J5" s="87"/>
      <c r="K5" s="87"/>
      <c r="L5" s="87"/>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c r="A6" s="116" t="str">
        <f>"FY2026 revenue is forecast at £"&amp;ROUND(Dashboard!D6/1000,1)&amp;"m, "&amp;IF(Dashboard!G6&lt;0,"£"&amp;ROUND(-Dashboard!G6,0)&amp;"k below budget","£"&amp;ROUND(Dashboard!G6,0)&amp;"k above budget")&amp;". EBITDA is forecast at £"&amp;ROUND(Dashboard!D10/1000,1)&amp;"m, "&amp;IF(Dashboard!G10&lt;0,"£"&amp;ROUND(-Dashboard!G10/1000,1)&amp;"m below budget.","£"&amp;ROUND(Dashboard!G10/1000,1)&amp;"m above budget.")</f>
        <v>FY2026 revenue is forecast at £68.4m, £299k below budget. EBITDA is forecast at £14.8m, £2.8m above budget.</v>
      </c>
      <c r="B6" s="116"/>
      <c r="C6" s="116"/>
      <c r="D6" s="116"/>
      <c r="E6" s="116"/>
      <c r="F6" s="116"/>
      <c r="G6" s="116"/>
      <c r="H6" s="116"/>
      <c r="I6" s="116"/>
      <c r="J6" s="116"/>
      <c r="K6" s="116"/>
      <c r="L6" s="116"/>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c r="A7" s="116"/>
      <c r="B7" s="116"/>
      <c r="C7" s="116"/>
      <c r="D7" s="116"/>
      <c r="E7" s="116"/>
      <c r="F7" s="116"/>
      <c r="G7" s="116"/>
      <c r="H7" s="116"/>
      <c r="I7" s="116"/>
      <c r="J7" s="116"/>
      <c r="K7" s="116"/>
      <c r="L7" s="116"/>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c r="A8" s="116"/>
      <c r="B8" s="116"/>
      <c r="C8" s="116"/>
      <c r="D8" s="116"/>
      <c r="E8" s="116"/>
      <c r="F8" s="116"/>
      <c r="G8" s="116"/>
      <c r="H8" s="116"/>
      <c r="I8" s="116"/>
      <c r="J8" s="116"/>
      <c r="K8" s="116"/>
      <c r="L8" s="116"/>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ht="26.75" customHeight="1">
      <c r="A10" s="87" t="s">
        <v>589</v>
      </c>
      <c r="B10" s="87"/>
      <c r="C10" s="87"/>
      <c r="D10" s="87"/>
      <c r="E10" s="87"/>
      <c r="F10" s="87"/>
      <c r="G10" s="87"/>
      <c r="H10" s="87"/>
      <c r="I10" s="87"/>
      <c r="J10" s="87"/>
      <c r="K10" s="87"/>
      <c r="L10" s="87"/>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c r="A11" s="116" t="str">
        <f>"Revenue variance bridge: volume "&amp;IF('PVM Analysis'!H12&lt;0,"£"&amp;ROUND(-'PVM Analysis'!H12,0)&amp;"k adverse","£"&amp;ROUND('PVM Analysis'!H12,0)&amp;"k favourable")&amp;", mix "&amp;IF('PVM Analysis'!I12&lt;0,"£"&amp;ROUND(-'PVM Analysis'!I12,0)&amp;"k adverse","£"&amp;ROUND('PVM Analysis'!I12,0)&amp;"k favourable")&amp;" and price "&amp;IF('PVM Analysis'!J12&lt;0,"£"&amp;ROUND(-'PVM Analysis'!J12,0)&amp;"k adverse","£"&amp;ROUND('PVM Analysis'!J12,0)&amp;"k favourable")&amp;". Gross margin moves from "&amp;ROUND('PVM Analysis'!M25*100,1)&amp;"% budget to "&amp;ROUND('PVM Analysis'!N25*100,1)&amp;"% forecast."</f>
        <v>Revenue variance bridge: volume £256k adverse, mix £109k favourable and price £152k adverse. Gross margin moves from 46.2% budget to 46.1% forecast.</v>
      </c>
      <c r="B11" s="116"/>
      <c r="C11" s="116"/>
      <c r="D11" s="116"/>
      <c r="E11" s="116"/>
      <c r="F11" s="116"/>
      <c r="G11" s="116"/>
      <c r="H11" s="116"/>
      <c r="I11" s="116"/>
      <c r="J11" s="116"/>
      <c r="K11" s="116"/>
      <c r="L11" s="116"/>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c r="A12" s="116"/>
      <c r="B12" s="116"/>
      <c r="C12" s="116"/>
      <c r="D12" s="116"/>
      <c r="E12" s="116"/>
      <c r="F12" s="116"/>
      <c r="G12" s="116"/>
      <c r="H12" s="116"/>
      <c r="I12" s="116"/>
      <c r="J12" s="116"/>
      <c r="K12" s="116"/>
      <c r="L12" s="116"/>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c r="A13" s="116"/>
      <c r="B13" s="116"/>
      <c r="C13" s="116"/>
      <c r="D13" s="116"/>
      <c r="E13" s="116"/>
      <c r="F13" s="116"/>
      <c r="G13" s="116"/>
      <c r="H13" s="116"/>
      <c r="I13" s="116"/>
      <c r="J13" s="116"/>
      <c r="K13" s="116"/>
      <c r="L13" s="116"/>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ht="26.75" customHeight="1">
      <c r="A15" s="87" t="s">
        <v>590</v>
      </c>
      <c r="B15" s="87"/>
      <c r="C15" s="87"/>
      <c r="D15" s="87"/>
      <c r="E15" s="87"/>
      <c r="F15" s="87"/>
      <c r="G15" s="87"/>
      <c r="H15" s="87"/>
      <c r="I15" s="87"/>
      <c r="J15" s="87"/>
      <c r="K15" s="87"/>
      <c r="L15" s="87"/>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c r="A16" s="116" t="str">
        <f>"Probability-weighted opportunities add £"&amp;ROUND('Risks &amp; Opportunities'!B25,0)&amp;"k EBITDA, while identified risks represent £"&amp;ROUND(-'Risks &amp; Opportunities'!B26,0)&amp;"k downside. The R&amp;O-adjusted EBITDA outlook is £"&amp;ROUND('Risks &amp; Opportunities'!B27/1000,1)&amp;"m versus £"&amp;ROUND('Risks &amp; Opportunities'!B23/1000,1)&amp;"m budget."</f>
        <v>Probability-weighted opportunities add £240k EBITDA, while identified risks represent £225k downside. The R&amp;O-adjusted EBITDA outlook is £14.8m versus £12m budget.</v>
      </c>
      <c r="B16" s="116"/>
      <c r="C16" s="116"/>
      <c r="D16" s="116"/>
      <c r="E16" s="116"/>
      <c r="F16" s="116"/>
      <c r="G16" s="116"/>
      <c r="H16" s="116"/>
      <c r="I16" s="116"/>
      <c r="J16" s="116"/>
      <c r="K16" s="116"/>
      <c r="L16" s="116"/>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c r="A17" s="116"/>
      <c r="B17" s="116"/>
      <c r="C17" s="116"/>
      <c r="D17" s="116"/>
      <c r="E17" s="116"/>
      <c r="F17" s="116"/>
      <c r="G17" s="116"/>
      <c r="H17" s="116"/>
      <c r="I17" s="116"/>
      <c r="J17" s="116"/>
      <c r="K17" s="116"/>
      <c r="L17" s="116"/>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c r="A18" s="116"/>
      <c r="B18" s="116"/>
      <c r="C18" s="116"/>
      <c r="D18" s="116"/>
      <c r="E18" s="116"/>
      <c r="F18" s="116"/>
      <c r="G18" s="116"/>
      <c r="H18" s="116"/>
      <c r="I18" s="116"/>
      <c r="J18" s="116"/>
      <c r="K18" s="116"/>
      <c r="L18" s="116"/>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ht="26.75" customHeight="1">
      <c r="A20" s="87" t="s">
        <v>591</v>
      </c>
      <c r="B20" s="87"/>
      <c r="C20" s="87"/>
      <c r="D20" s="87"/>
      <c r="E20" s="87"/>
      <c r="F20" s="87"/>
      <c r="G20" s="87"/>
      <c r="H20" s="87"/>
      <c r="I20" s="87"/>
      <c r="J20" s="87"/>
      <c r="K20" s="87"/>
      <c r="L20" s="87"/>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c r="A21" s="116" t="str">
        <f>"Cash conversion cycle moves from "&amp;ROUND('Working Capital'!B30,1)&amp;" days in September to "&amp;ROUND('Working Capital'!C30,1)&amp;" days in December. The 13-week forecast closes at £"&amp;ROUND('13-Week Cash Forecast'!N28,0)&amp;"k, with minimum cash of £"&amp;ROUND('13-Week Cash Forecast'!B33,0)&amp;"k against the £"&amp;ROUND('13-Week Cash Forecast'!B7,0)&amp;"k policy floor."</f>
        <v>Cash conversion cycle moves from 40 days in September to 39 days in December. The 13-week forecast closes at £7123k, with minimum cash of £2219k against the £1000k policy floor.</v>
      </c>
      <c r="B21" s="116"/>
      <c r="C21" s="116"/>
      <c r="D21" s="116"/>
      <c r="E21" s="116"/>
      <c r="F21" s="116"/>
      <c r="G21" s="116"/>
      <c r="H21" s="116"/>
      <c r="I21" s="116"/>
      <c r="J21" s="116"/>
      <c r="K21" s="116"/>
      <c r="L21" s="116"/>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c r="A22" s="116"/>
      <c r="B22" s="116"/>
      <c r="C22" s="116"/>
      <c r="D22" s="116"/>
      <c r="E22" s="116"/>
      <c r="F22" s="116"/>
      <c r="G22" s="116"/>
      <c r="H22" s="116"/>
      <c r="I22" s="116"/>
      <c r="J22" s="116"/>
      <c r="K22" s="116"/>
      <c r="L22" s="116"/>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c r="A23" s="116"/>
      <c r="B23" s="116"/>
      <c r="C23" s="116"/>
      <c r="D23" s="116"/>
      <c r="E23" s="116"/>
      <c r="F23" s="116"/>
      <c r="G23" s="116"/>
      <c r="H23" s="116"/>
      <c r="I23" s="116"/>
      <c r="J23" s="116"/>
      <c r="K23" s="116"/>
      <c r="L23" s="116"/>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ht="26.75" customHeight="1">
      <c r="A25" s="87" t="s">
        <v>592</v>
      </c>
      <c r="B25" s="87"/>
      <c r="C25" s="87"/>
      <c r="D25" s="87"/>
      <c r="E25" s="87"/>
      <c r="F25" s="87"/>
      <c r="G25" s="87"/>
      <c r="H25" s="87"/>
      <c r="I25" s="87"/>
      <c r="J25" s="87"/>
      <c r="K25" s="87"/>
      <c r="L25" s="87"/>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c r="A26" s="116" t="str">
        <f>"Year-end headcount is "&amp;ROUND('Headcount &amp; Payroll'!M46,0)&amp;" FTE and FY2026 capex is £"&amp;ROUND('Capex &amp; Depreciation'!N33,0)&amp;"k. The warehouse automation case generates NPV of £"&amp;ROUND('Investment Appraisal'!B42,0)&amp;"k, IRR of "&amp;ROUND('Investment Appraisal'!B43*100,1)&amp;"% and "&amp;'Investment Appraisal'!B44&amp;" simple payback."</f>
        <v>Year-end headcount is 206 FTE and FY2026 capex is £3080k. The warehouse automation case generates NPV of £901k, IRR of 40.6% and 3 years simple payback.</v>
      </c>
      <c r="B26" s="116"/>
      <c r="C26" s="116"/>
      <c r="D26" s="116"/>
      <c r="E26" s="116"/>
      <c r="F26" s="116"/>
      <c r="G26" s="116"/>
      <c r="H26" s="116"/>
      <c r="I26" s="116"/>
      <c r="J26" s="116"/>
      <c r="K26" s="116"/>
      <c r="L26" s="116"/>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c r="A27" s="116"/>
      <c r="B27" s="116"/>
      <c r="C27" s="116"/>
      <c r="D27" s="116"/>
      <c r="E27" s="116"/>
      <c r="F27" s="116"/>
      <c r="G27" s="116"/>
      <c r="H27" s="116"/>
      <c r="I27" s="116"/>
      <c r="J27" s="116"/>
      <c r="K27" s="116"/>
      <c r="L27" s="116"/>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c r="A28" s="116"/>
      <c r="B28" s="116"/>
      <c r="C28" s="116"/>
      <c r="D28" s="116"/>
      <c r="E28" s="116"/>
      <c r="F28" s="116"/>
      <c r="G28" s="116"/>
      <c r="H28" s="116"/>
      <c r="I28" s="116"/>
      <c r="J28" s="116"/>
      <c r="K28" s="116"/>
      <c r="L28" s="116"/>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ht="26.75" customHeight="1">
      <c r="A31" s="87" t="s">
        <v>593</v>
      </c>
      <c r="B31" s="87"/>
      <c r="C31" s="87"/>
      <c r="D31" s="87"/>
      <c r="E31" s="87"/>
      <c r="F31" s="87"/>
      <c r="G31" s="87"/>
      <c r="H31" s="87"/>
      <c r="I31" s="87"/>
      <c r="J31" s="87"/>
      <c r="K31" s="87"/>
      <c r="L31" s="87"/>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ht="16">
      <c r="A32" s="58" t="s">
        <v>594</v>
      </c>
      <c r="B32" s="58" t="s">
        <v>595</v>
      </c>
      <c r="C32" s="58" t="s">
        <v>596</v>
      </c>
      <c r="D32" s="58" t="s">
        <v>517</v>
      </c>
      <c r="E32" s="58" t="s">
        <v>597</v>
      </c>
      <c r="F32" s="58" t="s">
        <v>97</v>
      </c>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ht="32">
      <c r="A33" s="69">
        <v>1</v>
      </c>
      <c r="B33" s="4" t="s">
        <v>598</v>
      </c>
      <c r="C33" s="4" t="s">
        <v>599</v>
      </c>
      <c r="D33" s="4" t="s">
        <v>527</v>
      </c>
      <c r="E33" s="4" t="s">
        <v>600</v>
      </c>
      <c r="F33" s="4" t="s">
        <v>529</v>
      </c>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ht="32">
      <c r="A34" s="69">
        <v>2</v>
      </c>
      <c r="B34" s="4" t="s">
        <v>601</v>
      </c>
      <c r="C34" s="4" t="s">
        <v>602</v>
      </c>
      <c r="D34" s="4" t="s">
        <v>548</v>
      </c>
      <c r="E34" s="4" t="s">
        <v>603</v>
      </c>
      <c r="F34" s="4" t="s">
        <v>538</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ht="32">
      <c r="A35" s="69">
        <v>3</v>
      </c>
      <c r="B35" s="4" t="s">
        <v>604</v>
      </c>
      <c r="C35" s="4" t="s">
        <v>605</v>
      </c>
      <c r="D35" s="4" t="s">
        <v>544</v>
      </c>
      <c r="E35" s="4" t="s">
        <v>606</v>
      </c>
      <c r="F35" s="4" t="s">
        <v>555</v>
      </c>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ht="32">
      <c r="A36" s="69">
        <v>4</v>
      </c>
      <c r="B36" s="4" t="s">
        <v>607</v>
      </c>
      <c r="C36" s="4" t="s">
        <v>608</v>
      </c>
      <c r="D36" s="4" t="s">
        <v>566</v>
      </c>
      <c r="E36" s="4" t="s">
        <v>609</v>
      </c>
      <c r="F36" s="4" t="s">
        <v>529</v>
      </c>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ht="32">
      <c r="A37" s="69">
        <v>5</v>
      </c>
      <c r="B37" s="4" t="s">
        <v>610</v>
      </c>
      <c r="C37" s="4" t="s">
        <v>611</v>
      </c>
      <c r="D37" s="4" t="s">
        <v>566</v>
      </c>
      <c r="E37" s="4" t="s">
        <v>612</v>
      </c>
      <c r="F37" s="4" t="s">
        <v>538</v>
      </c>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sheetData>
  <mergeCells count="13">
    <mergeCell ref="A26:L28"/>
    <mergeCell ref="A31:L31"/>
    <mergeCell ref="A20:L20"/>
    <mergeCell ref="A25:L25"/>
    <mergeCell ref="A6:L8"/>
    <mergeCell ref="A11:L13"/>
    <mergeCell ref="A16:L18"/>
    <mergeCell ref="A21:L23"/>
    <mergeCell ref="A1:L1"/>
    <mergeCell ref="A3:L3"/>
    <mergeCell ref="A5:L5"/>
    <mergeCell ref="A10:L10"/>
    <mergeCell ref="A15:L15"/>
  </mergeCells>
  <conditionalFormatting sqref="F33:F37">
    <cfRule type="expression" dxfId="11" priority="1">
      <formula>F33="Open"</formula>
    </cfRule>
    <cfRule type="expression" dxfId="10" priority="2">
      <formula>F33="In progress"</formula>
    </cfRule>
    <cfRule type="expression" dxfId="9" priority="3">
      <formula>F33="Monitoring"</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200"/>
  <sheetViews>
    <sheetView workbookViewId="0">
      <selection activeCell="H32" sqref="H32:N32"/>
    </sheetView>
  </sheetViews>
  <sheetFormatPr baseColWidth="10" defaultColWidth="8.83203125" defaultRowHeight="15"/>
  <cols>
    <col min="1" max="1" width="24" customWidth="1"/>
    <col min="2" max="2" width="40" customWidth="1"/>
    <col min="3" max="3" width="24" customWidth="1"/>
    <col min="4" max="4" width="16" customWidth="1"/>
    <col min="5" max="5" width="26" customWidth="1"/>
    <col min="6" max="6" width="16" customWidth="1"/>
    <col min="7" max="7" width="4" customWidth="1"/>
    <col min="8" max="8" width="24" customWidth="1"/>
    <col min="9" max="9" width="18" customWidth="1"/>
    <col min="10" max="10" width="15" customWidth="1"/>
    <col min="11" max="11" width="18" customWidth="1"/>
    <col min="12" max="14" width="15" customWidth="1"/>
  </cols>
  <sheetData>
    <row r="1" spans="1:52" ht="37.25" customHeight="1">
      <c r="A1" s="113" t="s">
        <v>613</v>
      </c>
      <c r="B1" s="113"/>
      <c r="C1" s="113"/>
      <c r="D1" s="113"/>
      <c r="E1" s="113"/>
      <c r="F1" s="113"/>
      <c r="G1" s="113"/>
      <c r="H1" s="113"/>
      <c r="I1" s="113"/>
      <c r="J1" s="113"/>
      <c r="K1" s="113"/>
      <c r="L1" s="113"/>
      <c r="M1" s="113"/>
      <c r="N1" s="113"/>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115" t="str">
        <f>"FY2026 Outlook | Scenario: "&amp;Assumptions!B6&amp;" | Jan–Sep Actual + Q4 Forecast"</f>
        <v>FY2026 Outlook | Scenario: Base | Jan–Sep Actual + Q4 Forecast</v>
      </c>
      <c r="B3" s="115"/>
      <c r="C3" s="115"/>
      <c r="D3" s="115"/>
      <c r="E3" s="115"/>
      <c r="F3" s="115"/>
      <c r="G3" s="115"/>
      <c r="H3" s="115"/>
      <c r="I3" s="115"/>
      <c r="J3" s="115"/>
      <c r="K3" s="115"/>
      <c r="L3" s="115"/>
      <c r="M3" s="115"/>
      <c r="N3" s="115"/>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c r="A5" s="107" t="s">
        <v>113</v>
      </c>
      <c r="B5" s="107"/>
      <c r="C5" s="107"/>
      <c r="D5" s="107" t="s">
        <v>120</v>
      </c>
      <c r="E5" s="107"/>
      <c r="F5" s="107"/>
      <c r="G5" s="107" t="s">
        <v>614</v>
      </c>
      <c r="H5" s="107"/>
      <c r="I5" s="107"/>
      <c r="J5" s="107" t="s">
        <v>165</v>
      </c>
      <c r="K5" s="107"/>
      <c r="L5" s="107"/>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c r="A6" s="108">
        <f>ROUND(Dashboard!D6,0)</f>
        <v>68354</v>
      </c>
      <c r="B6" s="109"/>
      <c r="C6" s="109"/>
      <c r="D6" s="108">
        <f>ROUND(Dashboard!D10,0)</f>
        <v>14816</v>
      </c>
      <c r="E6" s="109"/>
      <c r="F6" s="109"/>
      <c r="G6" s="108">
        <f>ROUND(Dashboard!G10,0)</f>
        <v>2818</v>
      </c>
      <c r="H6" s="109"/>
      <c r="I6" s="109"/>
      <c r="J6" s="108">
        <f>ROUND('Risks &amp; Opportunities'!B27,0)</f>
        <v>14832</v>
      </c>
      <c r="K6" s="109"/>
      <c r="L6" s="109"/>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c r="A7" s="109"/>
      <c r="B7" s="109"/>
      <c r="C7" s="109"/>
      <c r="D7" s="109"/>
      <c r="E7" s="109"/>
      <c r="F7" s="109"/>
      <c r="G7" s="109"/>
      <c r="H7" s="109"/>
      <c r="I7" s="109"/>
      <c r="J7" s="109"/>
      <c r="K7" s="109"/>
      <c r="L7" s="109"/>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ht="26.75" customHeight="1">
      <c r="A10" s="87" t="s">
        <v>615</v>
      </c>
      <c r="B10" s="87"/>
      <c r="C10" s="87"/>
      <c r="D10" s="87"/>
      <c r="E10" s="87"/>
      <c r="F10" s="87"/>
      <c r="G10" s="87"/>
      <c r="H10" s="87"/>
      <c r="I10" s="87"/>
      <c r="J10" s="87"/>
      <c r="K10" s="87"/>
      <c r="L10" s="87"/>
      <c r="M10" s="87"/>
      <c r="N10" s="87"/>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ht="32" customHeight="1">
      <c r="A11" s="117" t="str">
        <f>'Management Commentary'!A6&amp;CHAR(10)&amp;CHAR(10)&amp;'Management Commentary'!A11&amp;CHAR(10)&amp;CHAR(10)&amp;'Management Commentary'!A16</f>
        <v>FY2026 revenue is forecast at £68.4m, £299k below budget. EBITDA is forecast at £14.8m, £2.8m above budget.
Revenue variance bridge: volume £256k adverse, mix £109k favourable and price £152k adverse. Gross margin moves from 46.2% budget to 46.1% forecast.
Probability-weighted opportunities add £240k EBITDA, while identified risks represent £225k downside. The R&amp;O-adjusted EBITDA outlook is £14.8m versus £12m budget.</v>
      </c>
      <c r="B11" s="117"/>
      <c r="C11" s="117"/>
      <c r="D11" s="117"/>
      <c r="E11" s="117"/>
      <c r="F11" s="117"/>
      <c r="G11" s="117"/>
      <c r="H11" s="117"/>
      <c r="I11" s="117"/>
      <c r="J11" s="117"/>
      <c r="K11" s="117"/>
      <c r="L11" s="117"/>
      <c r="M11" s="117"/>
      <c r="N11" s="117"/>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ht="32" customHeight="1">
      <c r="A12" s="117"/>
      <c r="B12" s="117"/>
      <c r="C12" s="117"/>
      <c r="D12" s="117"/>
      <c r="E12" s="117"/>
      <c r="F12" s="117"/>
      <c r="G12" s="117"/>
      <c r="H12" s="117"/>
      <c r="I12" s="117"/>
      <c r="J12" s="117"/>
      <c r="K12" s="117"/>
      <c r="L12" s="117"/>
      <c r="M12" s="117"/>
      <c r="N12" s="117"/>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ht="32" customHeight="1">
      <c r="A13" s="117"/>
      <c r="B13" s="117"/>
      <c r="C13" s="117"/>
      <c r="D13" s="117"/>
      <c r="E13" s="117"/>
      <c r="F13" s="117"/>
      <c r="G13" s="117"/>
      <c r="H13" s="117"/>
      <c r="I13" s="117"/>
      <c r="J13" s="117"/>
      <c r="K13" s="117"/>
      <c r="L13" s="117"/>
      <c r="M13" s="117"/>
      <c r="N13" s="117"/>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ht="32" customHeight="1">
      <c r="A14" s="117"/>
      <c r="B14" s="117"/>
      <c r="C14" s="117"/>
      <c r="D14" s="117"/>
      <c r="E14" s="117"/>
      <c r="F14" s="117"/>
      <c r="G14" s="117"/>
      <c r="H14" s="117"/>
      <c r="I14" s="117"/>
      <c r="J14" s="117"/>
      <c r="K14" s="117"/>
      <c r="L14" s="117"/>
      <c r="M14" s="117"/>
      <c r="N14" s="117"/>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ht="32" customHeight="1">
      <c r="A15" s="117"/>
      <c r="B15" s="117"/>
      <c r="C15" s="117"/>
      <c r="D15" s="117"/>
      <c r="E15" s="117"/>
      <c r="F15" s="117"/>
      <c r="G15" s="117"/>
      <c r="H15" s="117"/>
      <c r="I15" s="117"/>
      <c r="J15" s="117"/>
      <c r="K15" s="117"/>
      <c r="L15" s="117"/>
      <c r="M15" s="117"/>
      <c r="N15" s="117"/>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ht="26.75" customHeight="1">
      <c r="A18" s="87" t="s">
        <v>616</v>
      </c>
      <c r="B18" s="87"/>
      <c r="C18" s="87"/>
      <c r="D18" s="87"/>
      <c r="E18" s="87"/>
      <c r="F18" s="87"/>
      <c r="G18" s="87"/>
      <c r="H18" s="87" t="s">
        <v>617</v>
      </c>
      <c r="I18" s="87"/>
      <c r="J18" s="87"/>
      <c r="K18" s="87"/>
      <c r="L18" s="87"/>
      <c r="M18" s="87"/>
      <c r="N18" s="87"/>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ht="16">
      <c r="A19" s="58" t="s">
        <v>57</v>
      </c>
      <c r="B19" s="58" t="s">
        <v>493</v>
      </c>
      <c r="C19" s="58" t="s">
        <v>108</v>
      </c>
      <c r="D19" s="58" t="s">
        <v>618</v>
      </c>
      <c r="E19" s="58" t="s">
        <v>619</v>
      </c>
      <c r="F19" s="1"/>
      <c r="G19" s="1"/>
      <c r="H19" s="58" t="s">
        <v>509</v>
      </c>
      <c r="I19" s="58" t="s">
        <v>620</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c r="A20" s="1" t="s">
        <v>185</v>
      </c>
      <c r="B20" s="31">
        <f>ROUND(SUM('Budget 2026'!I4:I63),0)</f>
        <v>68653</v>
      </c>
      <c r="C20" s="31">
        <f>ROUND(SUM('Rolling Forecast'!F4:F63),0)</f>
        <v>68354</v>
      </c>
      <c r="D20" s="31">
        <f>C20-B20</f>
        <v>-299</v>
      </c>
      <c r="E20" s="67">
        <f>D20/B20</f>
        <v>-4.3552357508047715E-3</v>
      </c>
      <c r="F20" s="1"/>
      <c r="G20" s="1"/>
      <c r="H20" s="1" t="s">
        <v>49</v>
      </c>
      <c r="I20" s="31">
        <f>ROUND('PVM Analysis'!H12,0)</f>
        <v>-256</v>
      </c>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c r="A21" s="1" t="s">
        <v>198</v>
      </c>
      <c r="B21" s="31">
        <f>ROUND(SUM('Budget 2026'!K4:K63),0)</f>
        <v>31711</v>
      </c>
      <c r="C21" s="31">
        <f>ROUND(SUM('Rolling Forecast'!I4:I63),0)</f>
        <v>31509</v>
      </c>
      <c r="D21" s="31">
        <f>C21-B21</f>
        <v>-202</v>
      </c>
      <c r="E21" s="67">
        <f>D21/B21</f>
        <v>-6.3700293273627447E-3</v>
      </c>
      <c r="F21" s="1"/>
      <c r="G21" s="1"/>
      <c r="H21" s="1" t="s">
        <v>511</v>
      </c>
      <c r="I21" s="31">
        <f>ROUND('PVM Analysis'!I12,0)</f>
        <v>109</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c r="A22" s="1" t="s">
        <v>214</v>
      </c>
      <c r="B22" s="31">
        <f>ROUND(SUM('Budget 2026'!P4:P63),0)</f>
        <v>11998</v>
      </c>
      <c r="C22" s="31">
        <f>ROUND(SUM('Rolling Forecast'!N4:N63),0)</f>
        <v>14816</v>
      </c>
      <c r="D22" s="31">
        <f>C22-B22</f>
        <v>2818</v>
      </c>
      <c r="E22" s="67">
        <f>D22/B22</f>
        <v>0.23487247874645775</v>
      </c>
      <c r="F22" s="1"/>
      <c r="G22" s="1"/>
      <c r="H22" s="1" t="s">
        <v>512</v>
      </c>
      <c r="I22" s="31">
        <f>ROUND('PVM Analysis'!J12,0)</f>
        <v>-152</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c r="A23" s="1" t="s">
        <v>621</v>
      </c>
      <c r="B23" s="67">
        <f>B22/B20</f>
        <v>0.17476293825470118</v>
      </c>
      <c r="C23" s="67">
        <f>C22/C20</f>
        <v>0.21675395733973141</v>
      </c>
      <c r="D23" s="67">
        <f>C23-B23</f>
        <v>4.1991019085030223E-2</v>
      </c>
      <c r="E23" s="1">
        <f>0</f>
        <v>0</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ht="26.75" customHeight="1">
      <c r="A27" s="87" t="s">
        <v>622</v>
      </c>
      <c r="B27" s="87"/>
      <c r="C27" s="87"/>
      <c r="D27" s="87"/>
      <c r="E27" s="87"/>
      <c r="F27" s="87"/>
      <c r="G27" s="87"/>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ht="16">
      <c r="A28" s="58" t="s">
        <v>57</v>
      </c>
      <c r="B28" s="58" t="s">
        <v>417</v>
      </c>
      <c r="C28" s="58" t="s">
        <v>623</v>
      </c>
      <c r="D28" s="58" t="s">
        <v>97</v>
      </c>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c r="A29" s="1" t="s">
        <v>624</v>
      </c>
      <c r="B29" s="31">
        <f>ROUND('Risks &amp; Opportunities'!B24,0)</f>
        <v>14816</v>
      </c>
      <c r="C29" s="31">
        <f>B29-ROUND('Risks &amp; Opportunities'!B23,0)</f>
        <v>2818</v>
      </c>
      <c r="D29" s="1" t="s">
        <v>625</v>
      </c>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c r="A30" s="1" t="s">
        <v>580</v>
      </c>
      <c r="B30" s="31">
        <f>ROUND('Risks &amp; Opportunities'!B25,0)</f>
        <v>240</v>
      </c>
      <c r="C30" s="31">
        <f>B30</f>
        <v>240</v>
      </c>
      <c r="D30" s="1" t="s">
        <v>626</v>
      </c>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c r="A31" s="1" t="s">
        <v>582</v>
      </c>
      <c r="B31" s="31">
        <f>ROUND('Risks &amp; Opportunities'!B26,0)</f>
        <v>-225</v>
      </c>
      <c r="C31" s="31">
        <f>B31</f>
        <v>-225</v>
      </c>
      <c r="D31" s="1" t="s">
        <v>627</v>
      </c>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ht="26.75" customHeight="1">
      <c r="A32" s="1" t="s">
        <v>628</v>
      </c>
      <c r="B32" s="31">
        <f>ROUND('Risks &amp; Opportunities'!B27,0)</f>
        <v>14832</v>
      </c>
      <c r="C32" s="31">
        <f>B32-ROUND('Risks &amp; Opportunities'!B23,0)</f>
        <v>2834</v>
      </c>
      <c r="D32" s="1" t="s">
        <v>629</v>
      </c>
      <c r="E32" s="1"/>
      <c r="F32" s="1"/>
      <c r="G32" s="1"/>
      <c r="H32" s="87" t="s">
        <v>630</v>
      </c>
      <c r="I32" s="87"/>
      <c r="J32" s="87"/>
      <c r="K32" s="87"/>
      <c r="L32" s="87"/>
      <c r="M32" s="87"/>
      <c r="N32" s="87"/>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ht="16">
      <c r="A33" s="1"/>
      <c r="B33" s="1"/>
      <c r="C33" s="1"/>
      <c r="D33" s="1"/>
      <c r="E33" s="1"/>
      <c r="F33" s="1"/>
      <c r="G33" s="1"/>
      <c r="H33" s="58" t="s">
        <v>57</v>
      </c>
      <c r="I33" s="58" t="s">
        <v>631</v>
      </c>
      <c r="J33" s="58" t="s">
        <v>632</v>
      </c>
      <c r="K33" s="58" t="s">
        <v>97</v>
      </c>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c r="A34" s="1"/>
      <c r="B34" s="1"/>
      <c r="C34" s="1"/>
      <c r="D34" s="1"/>
      <c r="E34" s="1"/>
      <c r="F34" s="1"/>
      <c r="G34" s="1"/>
      <c r="H34" s="1" t="s">
        <v>633</v>
      </c>
      <c r="I34" s="47">
        <f>ROUND('Working Capital'!B30,1)</f>
        <v>40</v>
      </c>
      <c r="J34" s="1" t="s">
        <v>243</v>
      </c>
      <c r="K34" s="1" t="s">
        <v>98</v>
      </c>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ht="26.75" customHeight="1">
      <c r="A35" s="87" t="s">
        <v>634</v>
      </c>
      <c r="B35" s="87"/>
      <c r="C35" s="87"/>
      <c r="D35" s="87"/>
      <c r="E35" s="87"/>
      <c r="F35" s="87"/>
      <c r="G35" s="87"/>
      <c r="H35" s="1" t="s">
        <v>157</v>
      </c>
      <c r="I35" s="47">
        <f>ROUND('Working Capital'!C30,1)</f>
        <v>39</v>
      </c>
      <c r="J35" s="1" t="s">
        <v>243</v>
      </c>
      <c r="K35" s="1" t="s">
        <v>108</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ht="16">
      <c r="A36" s="58" t="s">
        <v>57</v>
      </c>
      <c r="B36" s="58" t="s">
        <v>455</v>
      </c>
      <c r="C36" s="58" t="s">
        <v>635</v>
      </c>
      <c r="D36" s="58" t="s">
        <v>636</v>
      </c>
      <c r="E36" s="1"/>
      <c r="F36" s="1"/>
      <c r="G36" s="1"/>
      <c r="H36" s="1" t="s">
        <v>158</v>
      </c>
      <c r="I36" s="31">
        <f>ROUND('13-Week Cash Forecast'!N28,0)</f>
        <v>7123</v>
      </c>
      <c r="J36" s="1" t="s">
        <v>187</v>
      </c>
      <c r="K36" s="1" t="str">
        <f>IF(I36&gt;=I37,"Above policy","Below policy")</f>
        <v>Above policy</v>
      </c>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c r="A37" s="1" t="s">
        <v>461</v>
      </c>
      <c r="B37" s="31">
        <f>ROUND('Investment Appraisal'!B42,0)</f>
        <v>901</v>
      </c>
      <c r="C37" s="1" t="s">
        <v>462</v>
      </c>
      <c r="D37" s="1" t="s">
        <v>463</v>
      </c>
      <c r="E37" s="1"/>
      <c r="F37" s="1"/>
      <c r="G37" s="1"/>
      <c r="H37" s="1" t="s">
        <v>637</v>
      </c>
      <c r="I37" s="31">
        <f>ROUND('13-Week Cash Forecast'!B7,0)</f>
        <v>1000</v>
      </c>
      <c r="J37" s="1" t="s">
        <v>187</v>
      </c>
      <c r="K37" s="1" t="s">
        <v>638</v>
      </c>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t="s">
        <v>267</v>
      </c>
      <c r="B38" s="67">
        <f>'Investment Appraisal'!B43</f>
        <v>0.40594909039846727</v>
      </c>
      <c r="C38" s="1" t="s">
        <v>465</v>
      </c>
      <c r="D38" s="1" t="s">
        <v>639</v>
      </c>
      <c r="E38" s="1"/>
      <c r="F38" s="1"/>
      <c r="G38" s="1"/>
      <c r="H38" s="1" t="s">
        <v>155</v>
      </c>
      <c r="I38" s="41">
        <f>ROUND('Headcount &amp; Payroll'!M46,0)</f>
        <v>206</v>
      </c>
      <c r="J38" s="1" t="s">
        <v>224</v>
      </c>
      <c r="K38" s="1" t="s">
        <v>640</v>
      </c>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t="s">
        <v>641</v>
      </c>
      <c r="B39" s="1" t="str">
        <f>'Investment Appraisal'!B44</f>
        <v>3 years</v>
      </c>
      <c r="C39" s="1" t="s">
        <v>469</v>
      </c>
      <c r="D39" s="1" t="s">
        <v>642</v>
      </c>
      <c r="E39" s="1"/>
      <c r="F39" s="1"/>
      <c r="G39" s="1"/>
      <c r="H39" s="1" t="s">
        <v>156</v>
      </c>
      <c r="I39" s="31">
        <f>ROUND('Capex &amp; Depreciation'!N33,0)</f>
        <v>3080</v>
      </c>
      <c r="J39" s="1" t="s">
        <v>187</v>
      </c>
      <c r="K39" s="1" t="s">
        <v>643</v>
      </c>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c r="A40" s="1" t="s">
        <v>472</v>
      </c>
      <c r="B40" s="1" t="str">
        <f>'Investment Appraisal'!B45</f>
        <v>Proceed</v>
      </c>
      <c r="C40" s="1" t="s">
        <v>644</v>
      </c>
      <c r="D40" s="1" t="s">
        <v>645</v>
      </c>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ht="26.75" customHeight="1">
      <c r="A43" s="87" t="s">
        <v>646</v>
      </c>
      <c r="B43" s="87"/>
      <c r="C43" s="87"/>
      <c r="D43" s="87"/>
      <c r="E43" s="87"/>
      <c r="F43" s="87"/>
      <c r="G43" s="57"/>
      <c r="H43" s="87" t="s">
        <v>647</v>
      </c>
      <c r="I43" s="87"/>
      <c r="J43" s="87"/>
      <c r="K43" s="87"/>
      <c r="L43" s="87"/>
      <c r="M43" s="87"/>
      <c r="N43" s="87"/>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ht="34.75" customHeight="1">
      <c r="A44" s="58" t="s">
        <v>594</v>
      </c>
      <c r="B44" s="58" t="s">
        <v>597</v>
      </c>
      <c r="C44" s="58" t="s">
        <v>517</v>
      </c>
      <c r="D44" s="58" t="s">
        <v>519</v>
      </c>
      <c r="E44" s="58" t="s">
        <v>648</v>
      </c>
      <c r="F44" s="58" t="s">
        <v>97</v>
      </c>
      <c r="G44" s="1"/>
      <c r="H44" s="117" t="str">
        <f>'Management Commentary'!A21&amp;CHAR(10)&amp;CHAR(10)&amp;'Management Commentary'!A26</f>
        <v>Cash conversion cycle moves from 40 days in September to 39 days in December. The 13-week forecast closes at £7123k, with minimum cash of £2219k against the £1000k policy floor.
Year-end headcount is 206 FTE and FY2026 capex is £3080k. The warehouse automation case generates NPV of £901k, IRR of 40.6% and 3 years simple payback.</v>
      </c>
      <c r="I44" s="117"/>
      <c r="J44" s="117"/>
      <c r="K44" s="117"/>
      <c r="L44" s="117"/>
      <c r="M44" s="117"/>
      <c r="N44" s="117"/>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ht="34.75" customHeight="1">
      <c r="A45" s="4">
        <v>1</v>
      </c>
      <c r="B45" s="4" t="s">
        <v>649</v>
      </c>
      <c r="C45" s="4" t="s">
        <v>650</v>
      </c>
      <c r="D45" s="4" t="s">
        <v>651</v>
      </c>
      <c r="E45" s="4" t="s">
        <v>652</v>
      </c>
      <c r="F45" s="4" t="s">
        <v>529</v>
      </c>
      <c r="G45" s="1"/>
      <c r="H45" s="117"/>
      <c r="I45" s="117"/>
      <c r="J45" s="117"/>
      <c r="K45" s="117"/>
      <c r="L45" s="117"/>
      <c r="M45" s="117"/>
      <c r="N45" s="117"/>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ht="34.75" customHeight="1">
      <c r="A46" s="4">
        <v>2</v>
      </c>
      <c r="B46" s="4" t="s">
        <v>653</v>
      </c>
      <c r="C46" s="4" t="s">
        <v>654</v>
      </c>
      <c r="D46" s="4" t="s">
        <v>655</v>
      </c>
      <c r="E46" s="4" t="s">
        <v>656</v>
      </c>
      <c r="F46" s="4" t="s">
        <v>538</v>
      </c>
      <c r="G46" s="1"/>
      <c r="H46" s="117"/>
      <c r="I46" s="117"/>
      <c r="J46" s="117"/>
      <c r="K46" s="117"/>
      <c r="L46" s="117"/>
      <c r="M46" s="117"/>
      <c r="N46" s="117"/>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34.75" customHeight="1">
      <c r="A47" s="4">
        <v>3</v>
      </c>
      <c r="B47" s="4" t="s">
        <v>657</v>
      </c>
      <c r="C47" s="4" t="s">
        <v>658</v>
      </c>
      <c r="D47" s="4" t="s">
        <v>659</v>
      </c>
      <c r="E47" s="4" t="s">
        <v>660</v>
      </c>
      <c r="F47" s="4" t="s">
        <v>555</v>
      </c>
      <c r="G47" s="1"/>
      <c r="H47" s="117"/>
      <c r="I47" s="117"/>
      <c r="J47" s="117"/>
      <c r="K47" s="117"/>
      <c r="L47" s="117"/>
      <c r="M47" s="117"/>
      <c r="N47" s="117"/>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ht="34.75" customHeight="1">
      <c r="A48" s="4">
        <v>4</v>
      </c>
      <c r="B48" s="4" t="s">
        <v>661</v>
      </c>
      <c r="C48" s="4" t="s">
        <v>566</v>
      </c>
      <c r="D48" s="4" t="s">
        <v>662</v>
      </c>
      <c r="E48" s="4" t="s">
        <v>663</v>
      </c>
      <c r="F48" s="4" t="s">
        <v>538</v>
      </c>
      <c r="G48" s="1"/>
      <c r="H48" s="117"/>
      <c r="I48" s="117"/>
      <c r="J48" s="117"/>
      <c r="K48" s="117"/>
      <c r="L48" s="117"/>
      <c r="M48" s="117"/>
      <c r="N48" s="117"/>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ht="34.75" customHeight="1">
      <c r="A49" s="4">
        <v>5</v>
      </c>
      <c r="B49" s="4" t="s">
        <v>664</v>
      </c>
      <c r="C49" s="4" t="s">
        <v>665</v>
      </c>
      <c r="D49" s="4" t="s">
        <v>655</v>
      </c>
      <c r="E49" s="4" t="s">
        <v>666</v>
      </c>
      <c r="F49" s="4" t="s">
        <v>529</v>
      </c>
      <c r="G49" s="1"/>
      <c r="H49" s="117"/>
      <c r="I49" s="117"/>
      <c r="J49" s="117"/>
      <c r="K49" s="117"/>
      <c r="L49" s="117"/>
      <c r="M49" s="117"/>
      <c r="N49" s="117"/>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sheetData>
  <mergeCells count="20">
    <mergeCell ref="H32:N32"/>
    <mergeCell ref="A35:G35"/>
    <mergeCell ref="H44:N49"/>
    <mergeCell ref="A43:F43"/>
    <mergeCell ref="H43:N43"/>
    <mergeCell ref="A10:N10"/>
    <mergeCell ref="A11:N15"/>
    <mergeCell ref="A18:G18"/>
    <mergeCell ref="H18:N18"/>
    <mergeCell ref="A27:G27"/>
    <mergeCell ref="A1:N1"/>
    <mergeCell ref="A3:N3"/>
    <mergeCell ref="A5:C5"/>
    <mergeCell ref="A6:C7"/>
    <mergeCell ref="D5:F5"/>
    <mergeCell ref="D6:F7"/>
    <mergeCell ref="G5:I5"/>
    <mergeCell ref="G6:I7"/>
    <mergeCell ref="J5:L5"/>
    <mergeCell ref="J6:L7"/>
  </mergeCells>
  <conditionalFormatting sqref="C29:C32">
    <cfRule type="expression" dxfId="8" priority="5">
      <formula>C29&lt;0</formula>
    </cfRule>
    <cfRule type="expression" dxfId="7" priority="6">
      <formula>C29&gt;0</formula>
    </cfRule>
  </conditionalFormatting>
  <conditionalFormatting sqref="D20:D23">
    <cfRule type="expression" dxfId="6" priority="3">
      <formula>D20&lt;0</formula>
    </cfRule>
    <cfRule type="expression" dxfId="5" priority="4">
      <formula>D20&gt;0</formula>
    </cfRule>
  </conditionalFormatting>
  <conditionalFormatting sqref="F45:F49">
    <cfRule type="expression" dxfId="4" priority="7">
      <formula>F45="Open"</formula>
    </cfRule>
    <cfRule type="expression" dxfId="3" priority="8">
      <formula>F45="In progress"</formula>
    </cfRule>
    <cfRule type="expression" dxfId="2" priority="9">
      <formula>F45="Monitoring"</formula>
    </cfRule>
  </conditionalFormatting>
  <conditionalFormatting sqref="G6:I7">
    <cfRule type="expression" dxfId="1" priority="1">
      <formula>G6&lt;0</formula>
    </cfRule>
    <cfRule type="expression" dxfId="0" priority="2">
      <formula>G6&gt;0</formula>
    </cfRule>
  </conditionalFormatting>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60"/>
  <sheetViews>
    <sheetView tabSelected="1" workbookViewId="0">
      <selection sqref="A1:N1"/>
    </sheetView>
  </sheetViews>
  <sheetFormatPr baseColWidth="10" defaultColWidth="8.83203125" defaultRowHeight="15"/>
  <cols>
    <col min="1" max="1" width="24" customWidth="1"/>
    <col min="2" max="2" width="22" customWidth="1"/>
    <col min="3" max="6" width="13" customWidth="1"/>
    <col min="7" max="7" width="4" customWidth="1"/>
    <col min="8" max="8" width="24" customWidth="1"/>
    <col min="9" max="9" width="18" customWidth="1"/>
    <col min="10" max="14" width="12" customWidth="1"/>
  </cols>
  <sheetData>
    <row r="1" spans="1:14" ht="40" customHeight="1">
      <c r="A1" s="75" t="s">
        <v>667</v>
      </c>
      <c r="B1" s="75"/>
      <c r="C1" s="75"/>
      <c r="D1" s="75"/>
      <c r="E1" s="75"/>
      <c r="F1" s="75"/>
      <c r="G1" s="75"/>
      <c r="H1" s="75"/>
      <c r="I1" s="75"/>
      <c r="J1" s="75"/>
      <c r="K1" s="75"/>
      <c r="L1" s="75"/>
      <c r="M1" s="75"/>
      <c r="N1" s="75"/>
    </row>
    <row r="2" spans="1:14">
      <c r="A2" s="1"/>
      <c r="B2" s="1"/>
      <c r="C2" s="1"/>
      <c r="D2" s="1"/>
      <c r="E2" s="1"/>
      <c r="F2" s="1"/>
      <c r="G2" s="1"/>
      <c r="H2" s="1"/>
      <c r="I2" s="1"/>
      <c r="J2" s="1"/>
      <c r="K2" s="1"/>
      <c r="L2" s="1"/>
      <c r="M2" s="1"/>
      <c r="N2" s="1"/>
    </row>
    <row r="3" spans="1:14" ht="26.75" customHeight="1">
      <c r="A3" s="76" t="s">
        <v>668</v>
      </c>
      <c r="B3" s="76"/>
      <c r="C3" s="76"/>
      <c r="D3" s="76"/>
      <c r="E3" s="76"/>
      <c r="F3" s="76"/>
      <c r="G3" s="76"/>
      <c r="H3" s="76"/>
      <c r="I3" s="76"/>
      <c r="J3" s="76"/>
      <c r="K3" s="76"/>
      <c r="L3" s="76"/>
      <c r="M3" s="76"/>
      <c r="N3" s="76"/>
    </row>
    <row r="4" spans="1:14">
      <c r="A4" s="1"/>
      <c r="B4" s="1"/>
      <c r="C4" s="1"/>
      <c r="D4" s="1"/>
      <c r="E4" s="1"/>
      <c r="F4" s="1"/>
      <c r="G4" s="1"/>
      <c r="H4" s="1"/>
      <c r="I4" s="1"/>
      <c r="J4" s="1"/>
      <c r="K4" s="1"/>
      <c r="L4" s="1"/>
      <c r="M4" s="1"/>
      <c r="N4" s="1"/>
    </row>
    <row r="5" spans="1:14" ht="28" customHeight="1">
      <c r="A5" s="77" t="s">
        <v>669</v>
      </c>
      <c r="B5" s="77"/>
      <c r="C5" s="77"/>
      <c r="D5" s="77"/>
      <c r="E5" s="77"/>
      <c r="F5" s="77"/>
      <c r="G5" s="77"/>
      <c r="H5" s="77"/>
      <c r="I5" s="77"/>
      <c r="J5" s="77"/>
      <c r="K5" s="77"/>
      <c r="L5" s="77"/>
      <c r="M5" s="77"/>
      <c r="N5" s="77"/>
    </row>
    <row r="6" spans="1:14">
      <c r="A6" s="78" t="s">
        <v>670</v>
      </c>
      <c r="B6" s="78"/>
      <c r="C6" s="78"/>
      <c r="D6" s="78"/>
      <c r="E6" s="78"/>
      <c r="F6" s="78"/>
      <c r="G6" s="78"/>
      <c r="H6" s="78"/>
      <c r="I6" s="78"/>
      <c r="J6" s="78"/>
      <c r="K6" s="78"/>
      <c r="L6" s="78"/>
      <c r="M6" s="78"/>
      <c r="N6" s="78"/>
    </row>
    <row r="7" spans="1:14">
      <c r="A7" s="78"/>
      <c r="B7" s="78"/>
      <c r="C7" s="78"/>
      <c r="D7" s="78"/>
      <c r="E7" s="78"/>
      <c r="F7" s="78"/>
      <c r="G7" s="78"/>
      <c r="H7" s="78"/>
      <c r="I7" s="78"/>
      <c r="J7" s="78"/>
      <c r="K7" s="78"/>
      <c r="L7" s="78"/>
      <c r="M7" s="78"/>
      <c r="N7" s="78"/>
    </row>
    <row r="8" spans="1:14">
      <c r="A8" s="78"/>
      <c r="B8" s="78"/>
      <c r="C8" s="78"/>
      <c r="D8" s="78"/>
      <c r="E8" s="78"/>
      <c r="F8" s="78"/>
      <c r="G8" s="78"/>
      <c r="H8" s="78"/>
      <c r="I8" s="78"/>
      <c r="J8" s="78"/>
      <c r="K8" s="78"/>
      <c r="L8" s="78"/>
      <c r="M8" s="78"/>
      <c r="N8" s="78"/>
    </row>
    <row r="9" spans="1:14">
      <c r="A9" s="78"/>
      <c r="B9" s="78"/>
      <c r="C9" s="78"/>
      <c r="D9" s="78"/>
      <c r="E9" s="78"/>
      <c r="F9" s="78"/>
      <c r="G9" s="78"/>
      <c r="H9" s="78"/>
      <c r="I9" s="78"/>
      <c r="J9" s="78"/>
      <c r="K9" s="78"/>
      <c r="L9" s="78"/>
      <c r="M9" s="78"/>
      <c r="N9" s="78"/>
    </row>
    <row r="10" spans="1:14">
      <c r="A10" s="1"/>
      <c r="B10" s="1"/>
      <c r="C10" s="1"/>
      <c r="D10" s="1"/>
      <c r="E10" s="1"/>
      <c r="F10" s="1"/>
      <c r="G10" s="1"/>
      <c r="H10" s="1"/>
      <c r="I10" s="1"/>
      <c r="J10" s="1"/>
      <c r="K10" s="1"/>
      <c r="L10" s="1"/>
      <c r="M10" s="1"/>
      <c r="N10" s="1"/>
    </row>
    <row r="11" spans="1:14" ht="28" customHeight="1">
      <c r="A11" s="77" t="s">
        <v>671</v>
      </c>
      <c r="B11" s="77"/>
      <c r="C11" s="77"/>
      <c r="D11" s="77"/>
      <c r="E11" s="77"/>
      <c r="F11" s="77"/>
      <c r="G11" s="1"/>
      <c r="H11" s="77" t="s">
        <v>672</v>
      </c>
      <c r="I11" s="77"/>
      <c r="J11" s="77"/>
      <c r="K11" s="77"/>
      <c r="L11" s="77"/>
      <c r="M11" s="77"/>
      <c r="N11" s="77"/>
    </row>
    <row r="12" spans="1:14">
      <c r="A12" s="70" t="s">
        <v>673</v>
      </c>
      <c r="B12" s="79" t="s">
        <v>674</v>
      </c>
      <c r="C12" s="79"/>
      <c r="D12" s="79"/>
      <c r="E12" s="79"/>
      <c r="F12" s="79"/>
      <c r="G12" s="1"/>
      <c r="H12" s="71" t="s">
        <v>113</v>
      </c>
      <c r="I12" s="72">
        <f>Dashboard!D6</f>
        <v>68354</v>
      </c>
      <c r="J12" s="1" t="s">
        <v>187</v>
      </c>
      <c r="K12" s="1"/>
      <c r="L12" s="1"/>
      <c r="M12" s="1"/>
      <c r="N12" s="1"/>
    </row>
    <row r="13" spans="1:14">
      <c r="A13" s="70" t="s">
        <v>28</v>
      </c>
      <c r="B13" s="79" t="s">
        <v>675</v>
      </c>
      <c r="C13" s="79"/>
      <c r="D13" s="79"/>
      <c r="E13" s="79"/>
      <c r="F13" s="79"/>
      <c r="G13" s="1"/>
      <c r="H13" s="71" t="s">
        <v>128</v>
      </c>
      <c r="I13" s="72">
        <f>Dashboard!G6</f>
        <v>-299</v>
      </c>
      <c r="J13" s="1" t="s">
        <v>187</v>
      </c>
      <c r="K13" s="1"/>
      <c r="L13" s="1"/>
      <c r="M13" s="1"/>
      <c r="N13" s="1"/>
    </row>
    <row r="14" spans="1:14">
      <c r="A14" s="70" t="s">
        <v>676</v>
      </c>
      <c r="B14" s="79" t="s">
        <v>677</v>
      </c>
      <c r="C14" s="79"/>
      <c r="D14" s="79"/>
      <c r="E14" s="79"/>
      <c r="F14" s="79"/>
      <c r="G14" s="1"/>
      <c r="H14" s="71" t="s">
        <v>120</v>
      </c>
      <c r="I14" s="72">
        <f>Dashboard!D10</f>
        <v>14816</v>
      </c>
      <c r="J14" s="1" t="s">
        <v>187</v>
      </c>
      <c r="K14" s="1"/>
      <c r="L14" s="1"/>
      <c r="M14" s="1"/>
      <c r="N14" s="1"/>
    </row>
    <row r="15" spans="1:14">
      <c r="A15" s="70" t="s">
        <v>678</v>
      </c>
      <c r="B15" s="79" t="s">
        <v>679</v>
      </c>
      <c r="C15" s="79"/>
      <c r="D15" s="79"/>
      <c r="E15" s="79"/>
      <c r="F15" s="79"/>
      <c r="G15" s="1"/>
      <c r="H15" s="71" t="s">
        <v>614</v>
      </c>
      <c r="I15" s="72">
        <f>Dashboard!G10</f>
        <v>2818</v>
      </c>
      <c r="J15" s="1" t="s">
        <v>187</v>
      </c>
      <c r="K15" s="1"/>
      <c r="L15" s="1"/>
      <c r="M15" s="1"/>
      <c r="N15" s="1"/>
    </row>
    <row r="16" spans="1:14">
      <c r="A16" s="70" t="s">
        <v>245</v>
      </c>
      <c r="B16" s="79" t="s">
        <v>680</v>
      </c>
      <c r="C16" s="79"/>
      <c r="D16" s="79"/>
      <c r="E16" s="79"/>
      <c r="F16" s="79"/>
      <c r="G16" s="1"/>
      <c r="H16" s="71" t="s">
        <v>129</v>
      </c>
      <c r="I16" s="73">
        <f>Dashboard!J6</f>
        <v>0.46097542843717548</v>
      </c>
      <c r="J16" s="1" t="s">
        <v>203</v>
      </c>
      <c r="K16" s="1"/>
      <c r="L16" s="1"/>
      <c r="M16" s="1"/>
      <c r="N16" s="1"/>
    </row>
    <row r="17" spans="1:14">
      <c r="A17" s="70" t="s">
        <v>681</v>
      </c>
      <c r="B17" s="79" t="s">
        <v>682</v>
      </c>
      <c r="C17" s="79"/>
      <c r="D17" s="79"/>
      <c r="E17" s="79"/>
      <c r="F17" s="79"/>
      <c r="G17" s="1"/>
      <c r="H17" s="71" t="s">
        <v>683</v>
      </c>
      <c r="I17" s="74">
        <f>'Headcount &amp; Payroll'!M46</f>
        <v>206</v>
      </c>
      <c r="J17" s="1" t="s">
        <v>224</v>
      </c>
      <c r="K17" s="1"/>
      <c r="L17" s="1"/>
      <c r="M17" s="1"/>
      <c r="N17" s="1"/>
    </row>
    <row r="18" spans="1:14">
      <c r="A18" s="70" t="s">
        <v>684</v>
      </c>
      <c r="B18" s="79" t="s">
        <v>685</v>
      </c>
      <c r="C18" s="79"/>
      <c r="D18" s="79"/>
      <c r="E18" s="79"/>
      <c r="F18" s="79"/>
      <c r="G18" s="1"/>
      <c r="H18" s="71" t="s">
        <v>156</v>
      </c>
      <c r="I18" s="72">
        <f>'Capex &amp; Depreciation'!N33</f>
        <v>3080</v>
      </c>
      <c r="J18" s="1" t="s">
        <v>187</v>
      </c>
      <c r="K18" s="1"/>
      <c r="L18" s="1"/>
      <c r="M18" s="1"/>
      <c r="N18" s="1"/>
    </row>
    <row r="19" spans="1:14">
      <c r="A19" s="70" t="s">
        <v>686</v>
      </c>
      <c r="B19" s="79" t="s">
        <v>687</v>
      </c>
      <c r="C19" s="79"/>
      <c r="D19" s="79"/>
      <c r="E19" s="79"/>
      <c r="F19" s="79"/>
      <c r="G19" s="1"/>
      <c r="H19" s="71" t="s">
        <v>688</v>
      </c>
      <c r="I19" s="72">
        <f>'Investment Appraisal'!B42</f>
        <v>901.38599406880189</v>
      </c>
      <c r="J19" s="1" t="s">
        <v>187</v>
      </c>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ht="28" customHeight="1">
      <c r="A22" s="77" t="s">
        <v>689</v>
      </c>
      <c r="B22" s="77"/>
      <c r="C22" s="77"/>
      <c r="D22" s="77"/>
      <c r="E22" s="77"/>
      <c r="F22" s="77"/>
      <c r="G22" s="77"/>
      <c r="H22" s="77"/>
      <c r="I22" s="77"/>
      <c r="J22" s="77"/>
      <c r="K22" s="77"/>
      <c r="L22" s="77"/>
      <c r="M22" s="77"/>
      <c r="N22" s="77"/>
    </row>
    <row r="23" spans="1:14" ht="32" customHeight="1">
      <c r="A23" s="70" t="s">
        <v>690</v>
      </c>
      <c r="B23" s="80" t="s">
        <v>691</v>
      </c>
      <c r="C23" s="80"/>
      <c r="D23" s="80"/>
      <c r="E23" s="80"/>
      <c r="F23" s="80"/>
      <c r="G23" s="80"/>
      <c r="H23" s="80"/>
      <c r="I23" s="80"/>
      <c r="J23" s="80"/>
      <c r="K23" s="80"/>
      <c r="L23" s="80"/>
      <c r="M23" s="80"/>
      <c r="N23" s="80"/>
    </row>
    <row r="24" spans="1:14" ht="32" customHeight="1">
      <c r="A24" s="70" t="s">
        <v>692</v>
      </c>
      <c r="B24" s="80" t="s">
        <v>693</v>
      </c>
      <c r="C24" s="80"/>
      <c r="D24" s="80"/>
      <c r="E24" s="80"/>
      <c r="F24" s="80"/>
      <c r="G24" s="80"/>
      <c r="H24" s="80"/>
      <c r="I24" s="80"/>
      <c r="J24" s="80"/>
      <c r="K24" s="80"/>
      <c r="L24" s="80"/>
      <c r="M24" s="80"/>
      <c r="N24" s="80"/>
    </row>
    <row r="25" spans="1:14" ht="32" customHeight="1">
      <c r="A25" s="70" t="s">
        <v>694</v>
      </c>
      <c r="B25" s="80" t="s">
        <v>695</v>
      </c>
      <c r="C25" s="80"/>
      <c r="D25" s="80"/>
      <c r="E25" s="80"/>
      <c r="F25" s="80"/>
      <c r="G25" s="80"/>
      <c r="H25" s="80"/>
      <c r="I25" s="80"/>
      <c r="J25" s="80"/>
      <c r="K25" s="80"/>
      <c r="L25" s="80"/>
      <c r="M25" s="80"/>
      <c r="N25" s="80"/>
    </row>
    <row r="26" spans="1:14" ht="32" customHeight="1">
      <c r="A26" s="70" t="s">
        <v>604</v>
      </c>
      <c r="B26" s="80" t="s">
        <v>696</v>
      </c>
      <c r="C26" s="80"/>
      <c r="D26" s="80"/>
      <c r="E26" s="80"/>
      <c r="F26" s="80"/>
      <c r="G26" s="80"/>
      <c r="H26" s="80"/>
      <c r="I26" s="80"/>
      <c r="J26" s="80"/>
      <c r="K26" s="80"/>
      <c r="L26" s="80"/>
      <c r="M26" s="80"/>
      <c r="N26" s="80"/>
    </row>
    <row r="27" spans="1:14" ht="32" customHeight="1">
      <c r="A27" s="70" t="s">
        <v>681</v>
      </c>
      <c r="B27" s="80" t="s">
        <v>697</v>
      </c>
      <c r="C27" s="80"/>
      <c r="D27" s="80"/>
      <c r="E27" s="80"/>
      <c r="F27" s="80"/>
      <c r="G27" s="80"/>
      <c r="H27" s="80"/>
      <c r="I27" s="80"/>
      <c r="J27" s="80"/>
      <c r="K27" s="80"/>
      <c r="L27" s="80"/>
      <c r="M27" s="80"/>
      <c r="N27" s="80"/>
    </row>
    <row r="28" spans="1:14" ht="32" customHeight="1">
      <c r="A28" s="70" t="s">
        <v>265</v>
      </c>
      <c r="B28" s="80" t="s">
        <v>698</v>
      </c>
      <c r="C28" s="80"/>
      <c r="D28" s="80"/>
      <c r="E28" s="80"/>
      <c r="F28" s="80"/>
      <c r="G28" s="80"/>
      <c r="H28" s="80"/>
      <c r="I28" s="80"/>
      <c r="J28" s="80"/>
      <c r="K28" s="80"/>
      <c r="L28" s="80"/>
      <c r="M28" s="80"/>
      <c r="N28" s="80"/>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ht="28" customHeight="1">
      <c r="A31" s="77" t="s">
        <v>699</v>
      </c>
      <c r="B31" s="77"/>
      <c r="C31" s="77"/>
      <c r="D31" s="77"/>
      <c r="E31" s="77"/>
      <c r="F31" s="77"/>
      <c r="G31" s="77"/>
      <c r="H31" s="77"/>
      <c r="I31" s="77"/>
      <c r="J31" s="77"/>
      <c r="K31" s="77"/>
      <c r="L31" s="77"/>
      <c r="M31" s="77"/>
      <c r="N31" s="77"/>
    </row>
    <row r="32" spans="1:14">
      <c r="A32" s="81" t="s">
        <v>700</v>
      </c>
      <c r="B32" s="81"/>
      <c r="C32" s="81"/>
      <c r="D32" s="81"/>
      <c r="E32" s="81"/>
      <c r="F32" s="81"/>
      <c r="G32" s="81"/>
      <c r="H32" s="81"/>
      <c r="I32" s="81"/>
      <c r="J32" s="81"/>
      <c r="K32" s="81"/>
      <c r="L32" s="81"/>
      <c r="M32" s="81"/>
      <c r="N32" s="81"/>
    </row>
    <row r="33" spans="1:14">
      <c r="A33" s="81"/>
      <c r="B33" s="81"/>
      <c r="C33" s="81"/>
      <c r="D33" s="81"/>
      <c r="E33" s="81"/>
      <c r="F33" s="81"/>
      <c r="G33" s="81"/>
      <c r="H33" s="81"/>
      <c r="I33" s="81"/>
      <c r="J33" s="81"/>
      <c r="K33" s="81"/>
      <c r="L33" s="81"/>
      <c r="M33" s="81"/>
      <c r="N33" s="81"/>
    </row>
    <row r="34" spans="1:14">
      <c r="A34" s="81"/>
      <c r="B34" s="81"/>
      <c r="C34" s="81"/>
      <c r="D34" s="81"/>
      <c r="E34" s="81"/>
      <c r="F34" s="81"/>
      <c r="G34" s="81"/>
      <c r="H34" s="81"/>
      <c r="I34" s="81"/>
      <c r="J34" s="81"/>
      <c r="K34" s="81"/>
      <c r="L34" s="81"/>
      <c r="M34" s="81"/>
      <c r="N34" s="81"/>
    </row>
    <row r="35" spans="1:14">
      <c r="A35" s="81"/>
      <c r="B35" s="81"/>
      <c r="C35" s="81"/>
      <c r="D35" s="81"/>
      <c r="E35" s="81"/>
      <c r="F35" s="81"/>
      <c r="G35" s="81"/>
      <c r="H35" s="81"/>
      <c r="I35" s="81"/>
      <c r="J35" s="81"/>
      <c r="K35" s="81"/>
      <c r="L35" s="81"/>
      <c r="M35" s="81"/>
      <c r="N35" s="81"/>
    </row>
    <row r="36" spans="1:14">
      <c r="A36" s="81"/>
      <c r="B36" s="81"/>
      <c r="C36" s="81"/>
      <c r="D36" s="81"/>
      <c r="E36" s="81"/>
      <c r="F36" s="81"/>
      <c r="G36" s="81"/>
      <c r="H36" s="81"/>
      <c r="I36" s="81"/>
      <c r="J36" s="81"/>
      <c r="K36" s="81"/>
      <c r="L36" s="81"/>
      <c r="M36" s="81"/>
      <c r="N36" s="81"/>
    </row>
    <row r="37" spans="1:14">
      <c r="A37" s="1"/>
      <c r="B37" s="1"/>
      <c r="C37" s="1"/>
      <c r="D37" s="1"/>
      <c r="E37" s="1"/>
      <c r="F37" s="1"/>
      <c r="G37" s="1"/>
      <c r="H37" s="1"/>
      <c r="I37" s="1"/>
      <c r="J37" s="1"/>
      <c r="K37" s="1"/>
      <c r="L37" s="1"/>
      <c r="M37" s="1"/>
      <c r="N37" s="1"/>
    </row>
    <row r="38" spans="1:14" ht="28" customHeight="1">
      <c r="A38" s="77" t="s">
        <v>701</v>
      </c>
      <c r="B38" s="77"/>
      <c r="C38" s="77"/>
      <c r="D38" s="77"/>
      <c r="E38" s="77"/>
      <c r="F38" s="77"/>
      <c r="G38" s="77"/>
      <c r="H38" s="77"/>
      <c r="I38" s="77"/>
      <c r="J38" s="77"/>
      <c r="K38" s="77"/>
      <c r="L38" s="77"/>
      <c r="M38" s="77"/>
      <c r="N38" s="77"/>
    </row>
    <row r="39" spans="1:14">
      <c r="A39" s="71" t="s">
        <v>30</v>
      </c>
      <c r="B39" s="79" t="s">
        <v>702</v>
      </c>
      <c r="C39" s="79"/>
      <c r="D39" s="79"/>
      <c r="E39" s="1"/>
      <c r="F39" s="1"/>
      <c r="G39" s="1"/>
      <c r="H39" s="82" t="s">
        <v>703</v>
      </c>
      <c r="I39" s="82"/>
      <c r="J39" s="82"/>
      <c r="K39" s="82"/>
      <c r="L39" s="82"/>
      <c r="M39" s="82"/>
      <c r="N39" s="82"/>
    </row>
    <row r="40" spans="1:14">
      <c r="A40" s="71" t="s">
        <v>298</v>
      </c>
      <c r="B40" s="79" t="s">
        <v>704</v>
      </c>
      <c r="C40" s="79"/>
      <c r="D40" s="79"/>
      <c r="E40" s="1"/>
      <c r="F40" s="1"/>
      <c r="G40" s="1"/>
      <c r="H40" s="82"/>
      <c r="I40" s="82"/>
      <c r="J40" s="82"/>
      <c r="K40" s="82"/>
      <c r="L40" s="82"/>
      <c r="M40" s="82"/>
      <c r="N40" s="82"/>
    </row>
    <row r="41" spans="1:14">
      <c r="A41" s="71" t="s">
        <v>272</v>
      </c>
      <c r="B41" s="79" t="s">
        <v>705</v>
      </c>
      <c r="C41" s="79"/>
      <c r="D41" s="79"/>
      <c r="E41" s="1"/>
      <c r="F41" s="1"/>
      <c r="G41" s="1"/>
      <c r="H41" s="82"/>
      <c r="I41" s="82"/>
      <c r="J41" s="82"/>
      <c r="K41" s="82"/>
      <c r="L41" s="82"/>
      <c r="M41" s="82"/>
      <c r="N41" s="82"/>
    </row>
    <row r="42" spans="1:14">
      <c r="A42" s="71" t="s">
        <v>284</v>
      </c>
      <c r="B42" s="79" t="s">
        <v>706</v>
      </c>
      <c r="C42" s="79"/>
      <c r="D42" s="79"/>
      <c r="E42" s="1"/>
      <c r="F42" s="1"/>
      <c r="G42" s="1"/>
      <c r="H42" s="82"/>
      <c r="I42" s="82"/>
      <c r="J42" s="82"/>
      <c r="K42" s="82"/>
      <c r="L42" s="82"/>
      <c r="M42" s="82"/>
      <c r="N42" s="82"/>
    </row>
    <row r="43" spans="1:14">
      <c r="A43" s="71" t="s">
        <v>245</v>
      </c>
      <c r="B43" s="79" t="s">
        <v>707</v>
      </c>
      <c r="C43" s="79"/>
      <c r="D43" s="79"/>
      <c r="E43" s="1"/>
      <c r="F43" s="1"/>
      <c r="G43" s="1"/>
      <c r="H43" s="82"/>
      <c r="I43" s="82"/>
      <c r="J43" s="82"/>
      <c r="K43" s="82"/>
      <c r="L43" s="82"/>
      <c r="M43" s="82"/>
      <c r="N43" s="82"/>
    </row>
    <row r="44" spans="1:14">
      <c r="A44" s="71" t="s">
        <v>258</v>
      </c>
      <c r="B44" s="79" t="s">
        <v>708</v>
      </c>
      <c r="C44" s="79"/>
      <c r="D44" s="79"/>
      <c r="E44" s="1"/>
      <c r="F44" s="1"/>
      <c r="G44" s="1"/>
      <c r="H44" s="82"/>
      <c r="I44" s="82"/>
      <c r="J44" s="82"/>
      <c r="K44" s="82"/>
      <c r="L44" s="82"/>
      <c r="M44" s="82"/>
      <c r="N44" s="82"/>
    </row>
    <row r="45" spans="1:14">
      <c r="A45" s="71" t="s">
        <v>264</v>
      </c>
      <c r="B45" s="79" t="s">
        <v>709</v>
      </c>
      <c r="C45" s="79"/>
      <c r="D45" s="79"/>
      <c r="E45" s="1"/>
      <c r="F45" s="1"/>
      <c r="G45" s="1"/>
      <c r="H45" s="82"/>
      <c r="I45" s="82"/>
      <c r="J45" s="82"/>
      <c r="K45" s="82"/>
      <c r="L45" s="82"/>
      <c r="M45" s="82"/>
      <c r="N45" s="82"/>
    </row>
    <row r="46" spans="1:14">
      <c r="A46" s="71" t="s">
        <v>225</v>
      </c>
      <c r="B46" s="79" t="s">
        <v>710</v>
      </c>
      <c r="C46" s="79"/>
      <c r="D46" s="79"/>
      <c r="E46" s="1"/>
      <c r="F46" s="1"/>
      <c r="G46" s="1"/>
      <c r="H46" s="82"/>
      <c r="I46" s="82"/>
      <c r="J46" s="82"/>
      <c r="K46" s="82"/>
      <c r="L46" s="82"/>
      <c r="M46" s="82"/>
      <c r="N46" s="82"/>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sheetData>
  <mergeCells count="33">
    <mergeCell ref="B45:D45"/>
    <mergeCell ref="B46:D46"/>
    <mergeCell ref="H39:N46"/>
    <mergeCell ref="B40:D40"/>
    <mergeCell ref="B41:D41"/>
    <mergeCell ref="B42:D42"/>
    <mergeCell ref="B43:D43"/>
    <mergeCell ref="B44:D44"/>
    <mergeCell ref="B28:N28"/>
    <mergeCell ref="A31:N31"/>
    <mergeCell ref="A32:N36"/>
    <mergeCell ref="A38:N38"/>
    <mergeCell ref="B39:D39"/>
    <mergeCell ref="B23:N23"/>
    <mergeCell ref="B24:N24"/>
    <mergeCell ref="B25:N25"/>
    <mergeCell ref="B26:N26"/>
    <mergeCell ref="B27:N27"/>
    <mergeCell ref="B17:F17"/>
    <mergeCell ref="B18:F18"/>
    <mergeCell ref="B19:F19"/>
    <mergeCell ref="H11:N11"/>
    <mergeCell ref="A22:N22"/>
    <mergeCell ref="B12:F12"/>
    <mergeCell ref="B13:F13"/>
    <mergeCell ref="B14:F14"/>
    <mergeCell ref="B15:F15"/>
    <mergeCell ref="B16:F16"/>
    <mergeCell ref="A1:N1"/>
    <mergeCell ref="A3:N3"/>
    <mergeCell ref="A5:N5"/>
    <mergeCell ref="A6:N9"/>
    <mergeCell ref="A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Assumptions</vt:lpstr>
      <vt:lpstr>Historical Actuals</vt:lpstr>
      <vt:lpstr>Budget 2026</vt:lpstr>
      <vt:lpstr>Rolling Forecast</vt:lpstr>
      <vt:lpstr>Variance Analysis</vt:lpstr>
      <vt:lpstr>Dashboard</vt:lpstr>
      <vt:lpstr>Data Dictionary</vt:lpstr>
      <vt:lpstr>Headcount &amp; Payroll</vt:lpstr>
      <vt:lpstr>Capex &amp; Depreciation</vt:lpstr>
      <vt:lpstr>Working Capital</vt:lpstr>
      <vt:lpstr>13-Week Cash Forecast</vt:lpstr>
      <vt:lpstr>Investment Appraisal</vt:lpstr>
      <vt:lpstr>PVM Analysis</vt:lpstr>
      <vt:lpstr>Risks &amp; Opportunities</vt:lpstr>
      <vt:lpstr>Management Commentary</vt:lpstr>
      <vt:lpstr>Management Pack</vt:lpstr>
      <vt:lpstr>Portfolio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Arpitha Manjunath</cp:lastModifiedBy>
  <dcterms:created xsi:type="dcterms:W3CDTF">2026-10-03T13:58:09Z</dcterms:created>
  <dcterms:modified xsi:type="dcterms:W3CDTF">2026-10-04T22:51:31Z</dcterms:modified>
</cp:coreProperties>
</file>